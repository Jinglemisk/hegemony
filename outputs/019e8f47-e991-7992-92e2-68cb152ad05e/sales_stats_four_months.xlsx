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6"/>
  <workbookPr defaultThemeVersion="166925"/>
  <bookViews>
    <workbookView xWindow="0" yWindow="0" windowWidth="28800" windowHeight="17600"/>
  </bookViews>
  <sheets>
    <sheet name="Ocak" sheetId="1" r:id="rId1"/>
    <sheet name="Şubat" sheetId="2" r:id="rId2"/>
    <sheet name="Mart" sheetId="3" r:id="rId3"/>
    <sheet name="Nisan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0%"/>
  </numFmts>
  <fonts count="5">
    <font>
      <sz val="11"/>
      <color theme="1"/>
      <name val="Aptos"/>
      <family val="2"/>
    </font>
    <font>
      <b/>
      <sz val="16"/>
      <color rgb="FFFFFFFF"/>
      <name val="Aptos Display"/>
      <family val="2"/>
    </font>
    <font>
      <b/>
      <sz val="11"/>
      <color rgb="FFFFFFFF"/>
      <name val="Aptos"/>
      <family val="2"/>
    </font>
    <font>
      <b/>
      <sz val="11"/>
      <color rgb="FF17201B"/>
      <name val="Aptos"/>
      <family val="2"/>
    </font>
    <font>
      <b/>
      <sz val="11"/>
      <color rgb="FF245F84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201B"/>
        <bgColor indexed="64"/>
      </patternFill>
    </fill>
    <fill>
      <patternFill patternType="solid">
        <fgColor rgb="FF117A56"/>
        <bgColor indexed="64"/>
      </patternFill>
    </fill>
    <fill>
      <patternFill patternType="solid">
        <fgColor rgb="FFF7F5EF"/>
        <bgColor indexed="64"/>
      </patternFill>
    </fill>
    <fill>
      <patternFill patternType="solid">
        <fgColor rgb="FFE3F4EC"/>
        <bgColor indexed="64"/>
      </patternFill>
    </fill>
    <fill>
      <patternFill patternType="solid">
        <fgColor rgb="FFE5F1F7"/>
        <bgColor indexed="64"/>
      </patternFill>
    </fill>
    <fill>
      <patternFill patternType="solid">
        <fgColor rgb="FFFFF0CF"/>
        <bgColor indexed="64"/>
      </patternFill>
    </fill>
  </fills>
  <borders count="2">
    <border>
      <left/>
      <right/>
      <top/>
      <bottom/>
      <diagonal/>
    </border>
    <border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Top 10 Kapora - Ocak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'Ocak'!$J$7</c:f>
              <c:strCache>
                <c:ptCount val="1"/>
                <c:pt idx="0">
                  <c:v>Kapora</c:v>
                </c:pt>
              </c:strCache>
            </c:strRef>
          </c:tx>
          <c:spPr>
            <a:solidFill>
              <a:srgbClr val="117A56"/>
            </a:solidFill>
            <a:ln>
              <a:noFill/>
            </a:ln>
          </c:spPr>
          <c:invertIfNegative val="0"/>
          <c:cat>
            <c:strRef>
              <c:f>'Ocak'!$I$8:$I$17</c:f>
              <c:strCache>
                <c:ptCount val="10"/>
                <c:pt idx="0">
                  <c:v>Onur Mert</c:v>
                </c:pt>
                <c:pt idx="1">
                  <c:v>Umut Durmaz</c:v>
                </c:pt>
                <c:pt idx="2">
                  <c:v>Sefa Üzgül</c:v>
                </c:pt>
                <c:pt idx="3">
                  <c:v>Ceren İrem Çakır</c:v>
                </c:pt>
                <c:pt idx="4">
                  <c:v>Kerem Saçaklı</c:v>
                </c:pt>
                <c:pt idx="5">
                  <c:v>Azra Çil</c:v>
                </c:pt>
                <c:pt idx="6">
                  <c:v>Mohi Bayati</c:v>
                </c:pt>
                <c:pt idx="7">
                  <c:v>Simay Cemre Aydoğan</c:v>
                </c:pt>
                <c:pt idx="8">
                  <c:v>Sevcan Erol</c:v>
                </c:pt>
                <c:pt idx="9">
                  <c:v>Gizem Oslu</c:v>
                </c:pt>
              </c:strCache>
            </c:strRef>
          </c:cat>
          <c:val>
            <c:numRef>
              <c:f>'Ocak'!$J$8:$J$17</c:f>
              <c:numCache>
                <c:formatCode>General</c:formatCode>
                <c:ptCount val="10"/>
                <c:pt idx="0">
                  <c:v>22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00010"/>
        <c:axId val="50000011"/>
      </c:barChart>
      <c:catAx>
        <c:axId val="50000010"/>
        <c:scaling>
          <c:orientation val="minMax"/>
        </c:scaling>
        <c:axPos val="l"/>
        <c:majorTickMark val="none"/>
        <c:minorTickMark val="none"/>
        <c:tickLblPos val="nextTo"/>
        <c:spPr>
          <a:ln>
            <a:solidFill>
              <a:srgbClr val="B7B0A1"/>
            </a:solidFill>
          </a:ln>
        </c:spPr>
        <c:crossAx val="50000011"/>
        <c:crosses val="autoZero"/>
        <c:auto val="1"/>
        <c:lblAlgn val="ctr"/>
        <c:lblOffset val="100"/>
      </c:catAx>
      <c:valAx>
        <c:axId val="50000011"/>
        <c:scaling>
          <c:orientation val="minMax"/>
        </c:scaling>
        <c:axPos val="b"/>
        <c:majorGridlines>
          <c:spPr>
            <a:ln>
              <a:solidFill>
                <a:srgbClr val="D9D5C9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solidFill>
              <a:srgbClr val="B7B0A1"/>
            </a:solidFill>
          </a:ln>
        </c:spPr>
        <c:crossAx val="500000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Top 10 Kapora - Şubat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'Şubat'!$J$7</c:f>
              <c:strCache>
                <c:ptCount val="1"/>
                <c:pt idx="0">
                  <c:v>Kapora</c:v>
                </c:pt>
              </c:strCache>
            </c:strRef>
          </c:tx>
          <c:spPr>
            <a:solidFill>
              <a:srgbClr val="117A56"/>
            </a:solidFill>
            <a:ln>
              <a:noFill/>
            </a:ln>
          </c:spPr>
          <c:invertIfNegative val="0"/>
          <c:cat>
            <c:strRef>
              <c:f>'Şubat'!$I$8:$I$17</c:f>
              <c:strCache>
                <c:ptCount val="10"/>
                <c:pt idx="0">
                  <c:v>Sefa Üzgül</c:v>
                </c:pt>
                <c:pt idx="1">
                  <c:v>Onur Mert</c:v>
                </c:pt>
                <c:pt idx="2">
                  <c:v>Umut Durmaz</c:v>
                </c:pt>
                <c:pt idx="3">
                  <c:v>Azra Çil</c:v>
                </c:pt>
                <c:pt idx="4">
                  <c:v>Mohi Bayati</c:v>
                </c:pt>
                <c:pt idx="5">
                  <c:v>Berk Gökşar</c:v>
                </c:pt>
                <c:pt idx="6">
                  <c:v>Selvi Acar</c:v>
                </c:pt>
                <c:pt idx="7">
                  <c:v>Zeynep Kapucu</c:v>
                </c:pt>
                <c:pt idx="8">
                  <c:v>Cihan Öztürk</c:v>
                </c:pt>
                <c:pt idx="9">
                  <c:v>Hazal Varol</c:v>
                </c:pt>
              </c:strCache>
            </c:strRef>
          </c:cat>
          <c:val>
            <c:numRef>
              <c:f>'Şubat'!$J$8:$J$17</c:f>
              <c:numCache>
                <c:formatCode>General</c:formatCode>
                <c:ptCount val="10"/>
                <c:pt idx="0">
                  <c:v>23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00020"/>
        <c:axId val="50000021"/>
      </c:barChart>
      <c:catAx>
        <c:axId val="50000020"/>
        <c:scaling>
          <c:orientation val="minMax"/>
        </c:scaling>
        <c:axPos val="l"/>
        <c:majorTickMark val="none"/>
        <c:minorTickMark val="none"/>
        <c:tickLblPos val="nextTo"/>
        <c:spPr>
          <a:ln>
            <a:solidFill>
              <a:srgbClr val="B7B0A1"/>
            </a:solidFill>
          </a:ln>
        </c:spPr>
        <c:crossAx val="50000021"/>
        <c:crosses val="autoZero"/>
        <c:auto val="1"/>
        <c:lblAlgn val="ctr"/>
        <c:lblOffset val="100"/>
      </c:catAx>
      <c:valAx>
        <c:axId val="50000021"/>
        <c:scaling>
          <c:orientation val="minMax"/>
        </c:scaling>
        <c:axPos val="b"/>
        <c:majorGridlines>
          <c:spPr>
            <a:ln>
              <a:solidFill>
                <a:srgbClr val="D9D5C9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solidFill>
              <a:srgbClr val="B7B0A1"/>
            </a:solidFill>
          </a:ln>
        </c:spPr>
        <c:crossAx val="500000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Top 10 Kapora - Mart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'Mart'!$J$7</c:f>
              <c:strCache>
                <c:ptCount val="1"/>
                <c:pt idx="0">
                  <c:v>Kapora</c:v>
                </c:pt>
              </c:strCache>
            </c:strRef>
          </c:tx>
          <c:spPr>
            <a:solidFill>
              <a:srgbClr val="117A56"/>
            </a:solidFill>
            <a:ln>
              <a:noFill/>
            </a:ln>
          </c:spPr>
          <c:invertIfNegative val="0"/>
          <c:cat>
            <c:strRef>
              <c:f>'Mart'!$I$8:$I$17</c:f>
              <c:strCache>
                <c:ptCount val="10"/>
                <c:pt idx="0">
                  <c:v>Ceren İrem Çakır</c:v>
                </c:pt>
                <c:pt idx="1">
                  <c:v>Ayşe Nur Berberoğlu</c:v>
                </c:pt>
                <c:pt idx="2">
                  <c:v>Onur Mert</c:v>
                </c:pt>
                <c:pt idx="3">
                  <c:v>Cihan Öztürk</c:v>
                </c:pt>
                <c:pt idx="4">
                  <c:v>Sefa Üzgül</c:v>
                </c:pt>
                <c:pt idx="5">
                  <c:v>Azra Çil</c:v>
                </c:pt>
                <c:pt idx="6">
                  <c:v>Zeynep Kapucu</c:v>
                </c:pt>
                <c:pt idx="7">
                  <c:v>Umut Durmaz</c:v>
                </c:pt>
                <c:pt idx="8">
                  <c:v>Hazal Varol</c:v>
                </c:pt>
                <c:pt idx="9">
                  <c:v>Berk Gökşar</c:v>
                </c:pt>
              </c:strCache>
            </c:strRef>
          </c:cat>
          <c:val>
            <c:numRef>
              <c:f>'Mart'!$J$8:$J$17</c:f>
              <c:numCache>
                <c:formatCode>General</c:formatCode>
                <c:ptCount val="10"/>
                <c:pt idx="0">
                  <c:v>24</c:v>
                </c:pt>
                <c:pt idx="1">
                  <c:v>22</c:v>
                </c:pt>
                <c:pt idx="2">
                  <c:v>19</c:v>
                </c:pt>
                <c:pt idx="3">
                  <c:v>16</c:v>
                </c:pt>
                <c:pt idx="4">
                  <c:v>16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00030"/>
        <c:axId val="50000031"/>
      </c:barChart>
      <c:catAx>
        <c:axId val="50000030"/>
        <c:scaling>
          <c:orientation val="minMax"/>
        </c:scaling>
        <c:axPos val="l"/>
        <c:majorTickMark val="none"/>
        <c:minorTickMark val="none"/>
        <c:tickLblPos val="nextTo"/>
        <c:spPr>
          <a:ln>
            <a:solidFill>
              <a:srgbClr val="B7B0A1"/>
            </a:solidFill>
          </a:ln>
        </c:spPr>
        <c:crossAx val="50000031"/>
        <c:crosses val="autoZero"/>
        <c:auto val="1"/>
        <c:lblAlgn val="ctr"/>
        <c:lblOffset val="100"/>
      </c:catAx>
      <c:valAx>
        <c:axId val="50000031"/>
        <c:scaling>
          <c:orientation val="minMax"/>
        </c:scaling>
        <c:axPos val="b"/>
        <c:majorGridlines>
          <c:spPr>
            <a:ln>
              <a:solidFill>
                <a:srgbClr val="D9D5C9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solidFill>
              <a:srgbClr val="B7B0A1"/>
            </a:solidFill>
          </a:ln>
        </c:spPr>
        <c:crossAx val="5000003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 sz="1400" b="1"/>
              <a:t>Top 10 Kapora - Nisan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'Nisan'!$J$7</c:f>
              <c:strCache>
                <c:ptCount val="1"/>
                <c:pt idx="0">
                  <c:v>Kapora</c:v>
                </c:pt>
              </c:strCache>
            </c:strRef>
          </c:tx>
          <c:spPr>
            <a:solidFill>
              <a:srgbClr val="117A56"/>
            </a:solidFill>
            <a:ln>
              <a:noFill/>
            </a:ln>
          </c:spPr>
          <c:invertIfNegative val="0"/>
          <c:cat>
            <c:strRef>
              <c:f>'Nisan'!$I$8:$I$17</c:f>
              <c:strCache>
                <c:ptCount val="10"/>
                <c:pt idx="0">
                  <c:v>Azra Çil</c:v>
                </c:pt>
                <c:pt idx="1">
                  <c:v>Cihan Öztürk</c:v>
                </c:pt>
                <c:pt idx="2">
                  <c:v>Onur Mert</c:v>
                </c:pt>
                <c:pt idx="3">
                  <c:v>Sefa Üzgül</c:v>
                </c:pt>
                <c:pt idx="4">
                  <c:v>Zeynep Kapucu</c:v>
                </c:pt>
                <c:pt idx="5">
                  <c:v>Ceren İrem Çakır</c:v>
                </c:pt>
                <c:pt idx="6">
                  <c:v>Umut Durmaz</c:v>
                </c:pt>
                <c:pt idx="7">
                  <c:v>Sevcan Erol</c:v>
                </c:pt>
                <c:pt idx="8">
                  <c:v>Mohi Bayati</c:v>
                </c:pt>
                <c:pt idx="9">
                  <c:v>Büşra Asyalı</c:v>
                </c:pt>
              </c:strCache>
            </c:strRef>
          </c:cat>
          <c:val>
            <c:numRef>
              <c:f>'Nisan'!$J$8:$J$17</c:f>
              <c:numCache>
                <c:formatCode>General</c:formatCode>
                <c:ptCount val="10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00040"/>
        <c:axId val="50000041"/>
      </c:barChart>
      <c:catAx>
        <c:axId val="50000040"/>
        <c:scaling>
          <c:orientation val="minMax"/>
        </c:scaling>
        <c:axPos val="l"/>
        <c:majorTickMark val="none"/>
        <c:minorTickMark val="none"/>
        <c:tickLblPos val="nextTo"/>
        <c:spPr>
          <a:ln>
            <a:solidFill>
              <a:srgbClr val="B7B0A1"/>
            </a:solidFill>
          </a:ln>
        </c:spPr>
        <c:crossAx val="50000041"/>
        <c:crosses val="autoZero"/>
        <c:auto val="1"/>
        <c:lblAlgn val="ctr"/>
        <c:lblOffset val="100"/>
      </c:catAx>
      <c:valAx>
        <c:axId val="50000041"/>
        <c:scaling>
          <c:orientation val="minMax"/>
        </c:scaling>
        <c:axPos val="b"/>
        <c:majorGridlines>
          <c:spPr>
            <a:ln>
              <a:solidFill>
                <a:srgbClr val="D9D5C9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solidFill>
              <a:srgbClr val="B7B0A1"/>
            </a:solidFill>
          </a:ln>
        </c:spPr>
        <c:crossAx val="500000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</file>

<file path=xl/drawings/_rels/drawing4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2" name="Kapora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3" name="Kapora 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4" name="Kapora 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5" name="Kapora 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drawing" Target="../drawings/drawing2.xml"/>
</Relationships>
</file>

<file path=xl/worksheets/_rels/sheet3.xml.rels><?xml version="1.0" encoding="UTF-8" standalone="yes"?>
<Relationships xmlns="http://schemas.openxmlformats.org/package/2006/relationships">
  <Relationship Id="rId3" Type="http://schemas.openxmlformats.org/officeDocument/2006/relationships/drawing" Target="../drawings/drawing3.xml"/>
</Relationships>
</file>

<file path=xl/worksheets/_rels/sheet4.xml.rels><?xml version="1.0" encoding="UTF-8" standalone="yes"?>
<Relationships xmlns="http://schemas.openxmlformats.org/package/2006/relationships">
  <Relationship Id="rId4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8"/>
  <cols>
    <col min="1" max="1" width="8" customWidth="1"/>
    <col min="2" max="2" width="28" customWidth="1"/>
    <col min="3" max="4" width="14" customWidth="1"/>
    <col min="5" max="6" width="16" customWidth="1"/>
    <col min="7" max="7" width="12" customWidth="1"/>
    <col min="8" max="8" width="3" customWidth="1"/>
    <col min="9" max="9" width="26" customWidth="1"/>
    <col min="10" max="10" width="12" customWidth="1"/>
    <col min="11" max="19" width="14" customWidth="1"/>
  </cols>
  <sheetData>
    <row r="1" ht="26" customHeight="1">
      <c r="A1" t="inlineStr" s="1">
        <is>
          <t>Sales Stats - Ocak</t>
        </is>
      </c>
    </row>
    <row r="3" ht="21" customHeight="1">
      <c r="A3" t="inlineStr" s="3">
        <is>
          <t>Total Leads</t>
        </is>
      </c>
      <c r="B3" s="8">
        <f>SUM(C8:C31)</f>
        <v>5939</v>
      </c>
      <c r="C3" t="inlineStr" s="3">
        <is>
          <t>Total Kapora</t>
        </is>
      </c>
      <c r="D3" s="9">
        <f>SUM(D8:D31)</f>
        <v>289.25</v>
      </c>
      <c r="E3" t="inlineStr" s="3">
        <is>
          <t>Conversion Rate</t>
        </is>
      </c>
      <c r="F3" s="6">
        <f>IF(B3=0,0,D3/B3)</f>
        <v>0.04870348544</v>
      </c>
    </row>
    <row r="4" ht="21" customHeight="1">
      <c r="A4" t="inlineStr" s="3">
        <is>
          <t>Days in Table</t>
        </is>
      </c>
      <c r="B4" s="4">
        <v>31</v>
      </c>
      <c r="C4" t="inlineStr" s="3">
        <is>
          <t>Salespeople</t>
        </is>
      </c>
      <c r="D4" s="4">
        <f>COUNTA(B8:B31)</f>
        <v>24</v>
      </c>
      <c r="E4" t="inlineStr" s="3">
        <is>
          <t>Source Rows</t>
        </is>
      </c>
      <c r="F4" s="4">
        <f>SUM(G8:G31)</f>
        <v>26</v>
      </c>
    </row>
    <row r="7" ht="22" customHeight="1">
      <c r="A7" t="inlineStr" s="2">
        <is>
          <t>Rank</t>
        </is>
      </c>
      <c r="B7" t="inlineStr" s="2">
        <is>
          <t>Salesman</t>
        </is>
      </c>
      <c r="C7" t="inlineStr" s="2">
        <is>
          <t>Total Leads</t>
        </is>
      </c>
      <c r="D7" t="inlineStr" s="2">
        <is>
          <t>Total Kapora</t>
        </is>
      </c>
      <c r="E7" t="inlineStr" s="2">
        <is>
          <t>Daily Avg Leads</t>
        </is>
      </c>
      <c r="F7" t="inlineStr" s="2">
        <is>
          <t>Conversion Rate</t>
        </is>
      </c>
      <c r="G7" t="inlineStr" s="2">
        <is>
          <t>Source Rows</t>
        </is>
      </c>
      <c r="I7" t="inlineStr" s="10">
        <is>
          <t>Top 10 Kapora</t>
        </is>
      </c>
      <c r="J7" t="inlineStr" s="10">
        <is>
          <t>Kapora</t>
        </is>
      </c>
    </row>
    <row r="8">
      <c r="A8" s="4">
        <v>1</v>
      </c>
      <c r="B8" t="inlineStr" s="11">
        <is>
          <t>Onur Mert</t>
        </is>
      </c>
      <c r="C8" s="4">
        <v>364</v>
      </c>
      <c r="D8" s="5">
        <v>22</v>
      </c>
      <c r="E8" s="5">
        <f>C8/$B$4</f>
        <v>11.74193548</v>
      </c>
      <c r="F8" s="6">
        <f>IF(C8=0,0,D8/C8)</f>
        <v>0.06043956044</v>
      </c>
      <c r="G8" s="4">
        <v>1</v>
      </c>
      <c r="I8" t="str" s="7">
        <f>B8</f>
        <v>Onur Mert</v>
      </c>
      <c r="J8" s="5">
        <f>D8</f>
        <v>22</v>
      </c>
    </row>
    <row r="9">
      <c r="A9" s="4">
        <v>2</v>
      </c>
      <c r="B9" t="inlineStr" s="11">
        <is>
          <t>Umut Durmaz</t>
        </is>
      </c>
      <c r="C9" s="4">
        <v>324</v>
      </c>
      <c r="D9" s="5">
        <v>20</v>
      </c>
      <c r="E9" s="5">
        <f>C9/$B$4</f>
        <v>10.4516129</v>
      </c>
      <c r="F9" s="6">
        <f>IF(C9=0,0,D9/C9)</f>
        <v>0.06172839506</v>
      </c>
      <c r="G9" s="4">
        <v>1</v>
      </c>
      <c r="I9" t="str" s="7">
        <f>B9</f>
        <v>Umut Durmaz</v>
      </c>
      <c r="J9" s="5">
        <f>D9</f>
        <v>20</v>
      </c>
    </row>
    <row r="10">
      <c r="A10" s="4">
        <v>3</v>
      </c>
      <c r="B10" t="inlineStr" s="11">
        <is>
          <t>Sefa Üzgül</t>
        </is>
      </c>
      <c r="C10" s="4">
        <v>303</v>
      </c>
      <c r="D10" s="5">
        <v>20</v>
      </c>
      <c r="E10" s="5">
        <f>C10/$B$4</f>
        <v>9.774193548</v>
      </c>
      <c r="F10" s="6">
        <f>IF(C10=0,0,D10/C10)</f>
        <v>0.06600660066</v>
      </c>
      <c r="G10" s="4">
        <v>1</v>
      </c>
      <c r="I10" t="str" s="7">
        <f>B10</f>
        <v>Sefa Üzgül</v>
      </c>
      <c r="J10" s="5">
        <f>D10</f>
        <v>20</v>
      </c>
    </row>
    <row r="11">
      <c r="A11" s="4">
        <v>4</v>
      </c>
      <c r="B11" t="inlineStr" s="7">
        <is>
          <t>Ceren İrem Çakır</t>
        </is>
      </c>
      <c r="C11" s="4">
        <v>272</v>
      </c>
      <c r="D11" s="5">
        <v>20</v>
      </c>
      <c r="E11" s="5">
        <f>C11/$B$4</f>
        <v>8.774193548</v>
      </c>
      <c r="F11" s="6">
        <f>IF(C11=0,0,D11/C11)</f>
        <v>0.07352941176</v>
      </c>
      <c r="G11" s="4">
        <v>1</v>
      </c>
      <c r="I11" t="str" s="7">
        <f>B11</f>
        <v>Ceren İrem Çakır</v>
      </c>
      <c r="J11" s="5">
        <f>D11</f>
        <v>20</v>
      </c>
    </row>
    <row r="12">
      <c r="A12" s="4">
        <v>5</v>
      </c>
      <c r="B12" t="inlineStr" s="7">
        <is>
          <t>Kerem Saçaklı</t>
        </is>
      </c>
      <c r="C12" s="4">
        <v>289</v>
      </c>
      <c r="D12" s="5">
        <v>17</v>
      </c>
      <c r="E12" s="5">
        <f>C12/$B$4</f>
        <v>9.322580645</v>
      </c>
      <c r="F12" s="6">
        <f>IF(C12=0,0,D12/C12)</f>
        <v>0.05882352941</v>
      </c>
      <c r="G12" s="4">
        <v>1</v>
      </c>
      <c r="I12" t="str" s="7">
        <f>B12</f>
        <v>Kerem Saçaklı</v>
      </c>
      <c r="J12" s="5">
        <f>D12</f>
        <v>17</v>
      </c>
    </row>
    <row r="13">
      <c r="A13" s="4">
        <v>6</v>
      </c>
      <c r="B13" t="inlineStr" s="7">
        <is>
          <t>Azra Çil</t>
        </is>
      </c>
      <c r="C13" s="4">
        <v>340</v>
      </c>
      <c r="D13" s="5">
        <v>16</v>
      </c>
      <c r="E13" s="5">
        <f>C13/$B$4</f>
        <v>10.96774194</v>
      </c>
      <c r="F13" s="6">
        <f>IF(C13=0,0,D13/C13)</f>
        <v>0.04705882353</v>
      </c>
      <c r="G13" s="4">
        <v>2</v>
      </c>
      <c r="I13" t="str" s="7">
        <f>B13</f>
        <v>Azra Çil</v>
      </c>
      <c r="J13" s="5">
        <f>D13</f>
        <v>16</v>
      </c>
    </row>
    <row r="14">
      <c r="A14" s="4">
        <v>7</v>
      </c>
      <c r="B14" t="inlineStr" s="7">
        <is>
          <t>Mohi Bayati</t>
        </is>
      </c>
      <c r="C14" s="4">
        <v>303</v>
      </c>
      <c r="D14" s="5">
        <v>16</v>
      </c>
      <c r="E14" s="5">
        <f>C14/$B$4</f>
        <v>9.774193548</v>
      </c>
      <c r="F14" s="6">
        <f>IF(C14=0,0,D14/C14)</f>
        <v>0.05280528053</v>
      </c>
      <c r="G14" s="4">
        <v>2</v>
      </c>
      <c r="I14" t="str" s="7">
        <f>B14</f>
        <v>Mohi Bayati</v>
      </c>
      <c r="J14" s="5">
        <f>D14</f>
        <v>16</v>
      </c>
    </row>
    <row r="15">
      <c r="A15" s="4">
        <v>8</v>
      </c>
      <c r="B15" t="inlineStr" s="7">
        <is>
          <t>Simay Cemre Aydoğan</t>
        </is>
      </c>
      <c r="C15" s="4">
        <v>302</v>
      </c>
      <c r="D15" s="5">
        <v>16</v>
      </c>
      <c r="E15" s="5">
        <f>C15/$B$4</f>
        <v>9.741935484</v>
      </c>
      <c r="F15" s="6">
        <f>IF(C15=0,0,D15/C15)</f>
        <v>0.05298013245</v>
      </c>
      <c r="G15" s="4">
        <v>1</v>
      </c>
      <c r="I15" t="str" s="7">
        <f>B15</f>
        <v>Simay Cemre Aydoğan</v>
      </c>
      <c r="J15" s="5">
        <f>D15</f>
        <v>16</v>
      </c>
    </row>
    <row r="16">
      <c r="A16" s="4">
        <v>9</v>
      </c>
      <c r="B16" t="inlineStr" s="7">
        <is>
          <t>Sevcan Erol</t>
        </is>
      </c>
      <c r="C16" s="4">
        <v>161</v>
      </c>
      <c r="D16" s="5">
        <v>16</v>
      </c>
      <c r="E16" s="5">
        <f>C16/$B$4</f>
        <v>5.193548387</v>
      </c>
      <c r="F16" s="6">
        <f>IF(C16=0,0,D16/C16)</f>
        <v>0.09937888199</v>
      </c>
      <c r="G16" s="4">
        <v>1</v>
      </c>
      <c r="I16" t="str" s="7">
        <f>B16</f>
        <v>Sevcan Erol</v>
      </c>
      <c r="J16" s="5">
        <f>D16</f>
        <v>16</v>
      </c>
    </row>
    <row r="17">
      <c r="A17" s="4">
        <v>10</v>
      </c>
      <c r="B17" t="inlineStr" s="7">
        <is>
          <t>Gizem Oslu</t>
        </is>
      </c>
      <c r="C17" s="4">
        <v>275</v>
      </c>
      <c r="D17" s="5">
        <v>13</v>
      </c>
      <c r="E17" s="5">
        <f>C17/$B$4</f>
        <v>8.870967742</v>
      </c>
      <c r="F17" s="6">
        <f>IF(C17=0,0,D17/C17)</f>
        <v>0.04727272727</v>
      </c>
      <c r="G17" s="4">
        <v>1</v>
      </c>
      <c r="I17" t="str" s="7">
        <f>B17</f>
        <v>Gizem Oslu</v>
      </c>
      <c r="J17" s="5">
        <f>D17</f>
        <v>13</v>
      </c>
    </row>
    <row r="18">
      <c r="A18" s="4">
        <v>11</v>
      </c>
      <c r="B18" t="inlineStr" s="7">
        <is>
          <t>Hazal Varol</t>
        </is>
      </c>
      <c r="C18" s="4">
        <v>211</v>
      </c>
      <c r="D18" s="5">
        <v>13</v>
      </c>
      <c r="E18" s="5">
        <f>C18/$B$4</f>
        <v>6.806451613</v>
      </c>
      <c r="F18" s="6">
        <f>IF(C18=0,0,D18/C18)</f>
        <v>0.06161137441</v>
      </c>
      <c r="G18" s="4">
        <v>1</v>
      </c>
    </row>
    <row r="19">
      <c r="A19" s="4">
        <v>12</v>
      </c>
      <c r="B19" t="inlineStr" s="7">
        <is>
          <t>Berk Gökşar</t>
        </is>
      </c>
      <c r="C19" s="4">
        <v>422</v>
      </c>
      <c r="D19" s="5">
        <v>12</v>
      </c>
      <c r="E19" s="5">
        <f>C19/$B$4</f>
        <v>13.61290323</v>
      </c>
      <c r="F19" s="6">
        <f>IF(C19=0,0,D19/C19)</f>
        <v>0.02843601896</v>
      </c>
      <c r="G19" s="4">
        <v>1</v>
      </c>
    </row>
    <row r="20">
      <c r="A20" s="4">
        <v>13</v>
      </c>
      <c r="B20" t="inlineStr" s="7">
        <is>
          <t>Ece Bakırtaş</t>
        </is>
      </c>
      <c r="C20" s="4">
        <v>265</v>
      </c>
      <c r="D20" s="5">
        <v>12</v>
      </c>
      <c r="E20" s="5">
        <f>C20/$B$4</f>
        <v>8.548387097</v>
      </c>
      <c r="F20" s="6">
        <f>IF(C20=0,0,D20/C20)</f>
        <v>0.04528301887</v>
      </c>
      <c r="G20" s="4">
        <v>1</v>
      </c>
    </row>
    <row r="21">
      <c r="A21" s="4">
        <v>14</v>
      </c>
      <c r="B21" t="inlineStr" s="7">
        <is>
          <t>Berivan Barca</t>
        </is>
      </c>
      <c r="C21" s="4">
        <v>245</v>
      </c>
      <c r="D21" s="5">
        <v>11.25</v>
      </c>
      <c r="E21" s="5">
        <f>C21/$B$4</f>
        <v>7.903225806</v>
      </c>
      <c r="F21" s="6">
        <f>IF(C21=0,0,D21/C21)</f>
        <v>0.04591836735</v>
      </c>
      <c r="G21" s="4">
        <v>1</v>
      </c>
    </row>
    <row r="22">
      <c r="A22" s="4">
        <v>15</v>
      </c>
      <c r="B22" t="inlineStr" s="7">
        <is>
          <t>Ayşe Nur Berberoğlu</t>
        </is>
      </c>
      <c r="C22" s="4">
        <v>403</v>
      </c>
      <c r="D22" s="5">
        <v>11</v>
      </c>
      <c r="E22" s="5">
        <f>C22/$B$4</f>
        <v>13</v>
      </c>
      <c r="F22" s="6">
        <f>IF(C22=0,0,D22/C22)</f>
        <v>0.02729528536</v>
      </c>
      <c r="G22" s="4">
        <v>1</v>
      </c>
    </row>
    <row r="23">
      <c r="A23" s="4">
        <v>16</v>
      </c>
      <c r="B23" t="inlineStr" s="7">
        <is>
          <t>Selvi Acar</t>
        </is>
      </c>
      <c r="C23" s="4">
        <v>135</v>
      </c>
      <c r="D23" s="5">
        <v>11</v>
      </c>
      <c r="E23" s="5">
        <f>C23/$B$4</f>
        <v>4.35483871</v>
      </c>
      <c r="F23" s="6">
        <f>IF(C23=0,0,D23/C23)</f>
        <v>0.08148148148</v>
      </c>
      <c r="G23" s="4">
        <v>1</v>
      </c>
    </row>
    <row r="24">
      <c r="A24" s="4">
        <v>17</v>
      </c>
      <c r="B24" t="inlineStr" s="7">
        <is>
          <t>Cihan Öztürk</t>
        </is>
      </c>
      <c r="C24" s="4">
        <v>348</v>
      </c>
      <c r="D24" s="5">
        <v>9</v>
      </c>
      <c r="E24" s="5">
        <f>C24/$B$4</f>
        <v>11.22580645</v>
      </c>
      <c r="F24" s="6">
        <f>IF(C24=0,0,D24/C24)</f>
        <v>0.02586206897</v>
      </c>
      <c r="G24" s="4">
        <v>1</v>
      </c>
    </row>
    <row r="25">
      <c r="A25" s="4">
        <v>18</v>
      </c>
      <c r="B25" t="inlineStr" s="7">
        <is>
          <t>Büşra Asyalı</t>
        </is>
      </c>
      <c r="C25" s="4">
        <v>190</v>
      </c>
      <c r="D25" s="5">
        <v>9</v>
      </c>
      <c r="E25" s="5">
        <f>C25/$B$4</f>
        <v>6.129032258</v>
      </c>
      <c r="F25" s="6">
        <f>IF(C25=0,0,D25/C25)</f>
        <v>0.04736842105</v>
      </c>
      <c r="G25" s="4">
        <v>1</v>
      </c>
    </row>
    <row r="26">
      <c r="A26" s="4">
        <v>19</v>
      </c>
      <c r="B26" t="inlineStr" s="7">
        <is>
          <t>Ahmet Ayaz</t>
        </is>
      </c>
      <c r="C26" s="4">
        <v>142</v>
      </c>
      <c r="D26" s="5">
        <v>9</v>
      </c>
      <c r="E26" s="5">
        <f>C26/$B$4</f>
        <v>4.580645161</v>
      </c>
      <c r="F26" s="6">
        <f>IF(C26=0,0,D26/C26)</f>
        <v>0.06338028169</v>
      </c>
      <c r="G26" s="4">
        <v>1</v>
      </c>
    </row>
    <row r="27">
      <c r="A27" s="4">
        <v>20</v>
      </c>
      <c r="B27" t="inlineStr" s="7">
        <is>
          <t>Zeynep Kapucu</t>
        </is>
      </c>
      <c r="C27" s="4">
        <v>255</v>
      </c>
      <c r="D27" s="5">
        <v>8</v>
      </c>
      <c r="E27" s="5">
        <f>C27/$B$4</f>
        <v>8.225806452</v>
      </c>
      <c r="F27" s="6">
        <f>IF(C27=0,0,D27/C27)</f>
        <v>0.03137254902</v>
      </c>
      <c r="G27" s="4">
        <v>1</v>
      </c>
    </row>
    <row r="28">
      <c r="A28" s="4">
        <v>21</v>
      </c>
      <c r="B28" t="inlineStr" s="7">
        <is>
          <t>İsa Bahadır Adak</t>
        </is>
      </c>
      <c r="C28" s="4">
        <v>165</v>
      </c>
      <c r="D28" s="5">
        <v>3</v>
      </c>
      <c r="E28" s="5">
        <f>C28/$B$4</f>
        <v>5.322580645</v>
      </c>
      <c r="F28" s="6">
        <f>IF(C28=0,0,D28/C28)</f>
        <v>0.01818181818</v>
      </c>
      <c r="G28" s="4">
        <v>1</v>
      </c>
    </row>
    <row r="29">
      <c r="A29" s="4">
        <v>22</v>
      </c>
      <c r="B29" t="inlineStr" s="7">
        <is>
          <t>Ümmühan Karagöz</t>
        </is>
      </c>
      <c r="C29" s="4">
        <v>100</v>
      </c>
      <c r="D29" s="5">
        <v>2</v>
      </c>
      <c r="E29" s="5">
        <f>C29/$B$4</f>
        <v>3.225806452</v>
      </c>
      <c r="F29" s="6">
        <f>IF(C29=0,0,D29/C29)</f>
        <v>0.02</v>
      </c>
      <c r="G29" s="4">
        <v>1</v>
      </c>
    </row>
    <row r="30">
      <c r="A30" s="4">
        <v>23</v>
      </c>
      <c r="B30" t="inlineStr" s="7">
        <is>
          <t>Bahar Yavuzsüslü</t>
        </is>
      </c>
      <c r="C30" s="4">
        <v>10</v>
      </c>
      <c r="D30" s="5">
        <v>2</v>
      </c>
      <c r="E30" s="5">
        <f>C30/$B$4</f>
        <v>0.3225806452</v>
      </c>
      <c r="F30" s="6">
        <f>IF(C30=0,0,D30/C30)</f>
        <v>0.2</v>
      </c>
      <c r="G30" s="4">
        <v>1</v>
      </c>
    </row>
    <row r="31">
      <c r="A31" s="4">
        <v>24</v>
      </c>
      <c r="B31" t="inlineStr" s="7">
        <is>
          <t>Oğuzhan Ünal</t>
        </is>
      </c>
      <c r="C31" s="4">
        <v>115</v>
      </c>
      <c r="D31" s="5">
        <v>1</v>
      </c>
      <c r="E31" s="5">
        <f>C31/$B$4</f>
        <v>3.709677419</v>
      </c>
      <c r="F31" s="6">
        <f>IF(C31=0,0,D31/C31)</f>
        <v>0.008695652174</v>
      </c>
      <c r="G31" s="4">
        <v>1</v>
      </c>
    </row>
  </sheetData>
  <mergeCells count="1">
    <mergeCell ref="A1:G1"/>
  </mergeCells>
  <autoFilter ref="A7:G31"/>
  <drawing r:id="rId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8"/>
  <cols>
    <col min="1" max="1" width="8" customWidth="1"/>
    <col min="2" max="2" width="28" customWidth="1"/>
    <col min="3" max="4" width="14" customWidth="1"/>
    <col min="5" max="6" width="16" customWidth="1"/>
    <col min="7" max="7" width="12" customWidth="1"/>
    <col min="8" max="8" width="3" customWidth="1"/>
    <col min="9" max="9" width="26" customWidth="1"/>
    <col min="10" max="10" width="12" customWidth="1"/>
    <col min="11" max="19" width="14" customWidth="1"/>
  </cols>
  <sheetData>
    <row r="1" ht="26" customHeight="1">
      <c r="A1" t="inlineStr" s="1">
        <is>
          <t>Sales Stats - Şubat</t>
        </is>
      </c>
    </row>
    <row r="3" ht="21" customHeight="1">
      <c r="A3" t="inlineStr" s="3">
        <is>
          <t>Total Leads</t>
        </is>
      </c>
      <c r="B3" s="8">
        <f>SUM(C8:C31)</f>
        <v>5781</v>
      </c>
      <c r="C3" t="inlineStr" s="3">
        <is>
          <t>Total Kapora</t>
        </is>
      </c>
      <c r="D3" s="9">
        <f>SUM(D8:D31)</f>
        <v>270.75</v>
      </c>
      <c r="E3" t="inlineStr" s="3">
        <is>
          <t>Conversion Rate</t>
        </is>
      </c>
      <c r="F3" s="6">
        <f>IF(B3=0,0,D3/B3)</f>
        <v>0.04683445771</v>
      </c>
    </row>
    <row r="4" ht="21" customHeight="1">
      <c r="A4" t="inlineStr" s="3">
        <is>
          <t>Days in Table</t>
        </is>
      </c>
      <c r="B4" s="4">
        <v>28</v>
      </c>
      <c r="C4" t="inlineStr" s="3">
        <is>
          <t>Salespeople</t>
        </is>
      </c>
      <c r="D4" s="4">
        <f>COUNTA(B8:B31)</f>
        <v>24</v>
      </c>
      <c r="E4" t="inlineStr" s="3">
        <is>
          <t>Source Rows</t>
        </is>
      </c>
      <c r="F4" s="4">
        <f>SUM(G8:G31)</f>
        <v>26</v>
      </c>
    </row>
    <row r="7" ht="22" customHeight="1">
      <c r="A7" t="inlineStr" s="2">
        <is>
          <t>Rank</t>
        </is>
      </c>
      <c r="B7" t="inlineStr" s="2">
        <is>
          <t>Salesman</t>
        </is>
      </c>
      <c r="C7" t="inlineStr" s="2">
        <is>
          <t>Total Leads</t>
        </is>
      </c>
      <c r="D7" t="inlineStr" s="2">
        <is>
          <t>Total Kapora</t>
        </is>
      </c>
      <c r="E7" t="inlineStr" s="2">
        <is>
          <t>Daily Avg Leads</t>
        </is>
      </c>
      <c r="F7" t="inlineStr" s="2">
        <is>
          <t>Conversion Rate</t>
        </is>
      </c>
      <c r="G7" t="inlineStr" s="2">
        <is>
          <t>Source Rows</t>
        </is>
      </c>
      <c r="I7" t="inlineStr" s="10">
        <is>
          <t>Top 10 Kapora</t>
        </is>
      </c>
      <c r="J7" t="inlineStr" s="10">
        <is>
          <t>Kapora</t>
        </is>
      </c>
    </row>
    <row r="8">
      <c r="A8" s="4">
        <v>1</v>
      </c>
      <c r="B8" t="inlineStr" s="11">
        <is>
          <t>Sefa Üzgül</t>
        </is>
      </c>
      <c r="C8" s="4">
        <v>326</v>
      </c>
      <c r="D8" s="5">
        <v>23</v>
      </c>
      <c r="E8" s="5">
        <f>C8/$B$4</f>
        <v>11.64285714</v>
      </c>
      <c r="F8" s="6">
        <f>IF(C8=0,0,D8/C8)</f>
        <v>0.07055214724</v>
      </c>
      <c r="G8" s="4">
        <v>1</v>
      </c>
      <c r="I8" t="str" s="7">
        <f>B8</f>
        <v>Sefa Üzgül</v>
      </c>
      <c r="J8" s="5">
        <f>D8</f>
        <v>23</v>
      </c>
    </row>
    <row r="9">
      <c r="A9" s="4">
        <v>2</v>
      </c>
      <c r="B9" t="inlineStr" s="11">
        <is>
          <t>Onur Mert</t>
        </is>
      </c>
      <c r="C9" s="4">
        <v>404</v>
      </c>
      <c r="D9" s="5">
        <v>22</v>
      </c>
      <c r="E9" s="5">
        <f>C9/$B$4</f>
        <v>14.42857143</v>
      </c>
      <c r="F9" s="6">
        <f>IF(C9=0,0,D9/C9)</f>
        <v>0.05445544554</v>
      </c>
      <c r="G9" s="4">
        <v>1</v>
      </c>
      <c r="I9" t="str" s="7">
        <f>B9</f>
        <v>Onur Mert</v>
      </c>
      <c r="J9" s="5">
        <f>D9</f>
        <v>22</v>
      </c>
    </row>
    <row r="10">
      <c r="A10" s="4">
        <v>3</v>
      </c>
      <c r="B10" t="inlineStr" s="11">
        <is>
          <t>Umut Durmaz</t>
        </is>
      </c>
      <c r="C10" s="4">
        <v>374</v>
      </c>
      <c r="D10" s="5">
        <v>20</v>
      </c>
      <c r="E10" s="5">
        <f>C10/$B$4</f>
        <v>13.35714286</v>
      </c>
      <c r="F10" s="6">
        <f>IF(C10=0,0,D10/C10)</f>
        <v>0.05347593583</v>
      </c>
      <c r="G10" s="4">
        <v>1</v>
      </c>
      <c r="I10" t="str" s="7">
        <f>B10</f>
        <v>Umut Durmaz</v>
      </c>
      <c r="J10" s="5">
        <f>D10</f>
        <v>20</v>
      </c>
    </row>
    <row r="11">
      <c r="A11" s="4">
        <v>4</v>
      </c>
      <c r="B11" t="inlineStr" s="7">
        <is>
          <t>Azra Çil</t>
        </is>
      </c>
      <c r="C11" s="4">
        <v>338</v>
      </c>
      <c r="D11" s="5">
        <v>19</v>
      </c>
      <c r="E11" s="5">
        <f>C11/$B$4</f>
        <v>12.07142857</v>
      </c>
      <c r="F11" s="6">
        <f>IF(C11=0,0,D11/C11)</f>
        <v>0.05621301775</v>
      </c>
      <c r="G11" s="4">
        <v>2</v>
      </c>
      <c r="I11" t="str" s="7">
        <f>B11</f>
        <v>Azra Çil</v>
      </c>
      <c r="J11" s="5">
        <f>D11</f>
        <v>19</v>
      </c>
    </row>
    <row r="12">
      <c r="A12" s="4">
        <v>5</v>
      </c>
      <c r="B12" t="inlineStr" s="7">
        <is>
          <t>Mohi Bayati</t>
        </is>
      </c>
      <c r="C12" s="4">
        <v>330</v>
      </c>
      <c r="D12" s="5">
        <v>19</v>
      </c>
      <c r="E12" s="5">
        <f>C12/$B$4</f>
        <v>11.78571429</v>
      </c>
      <c r="F12" s="6">
        <f>IF(C12=0,0,D12/C12)</f>
        <v>0.05757575758</v>
      </c>
      <c r="G12" s="4">
        <v>2</v>
      </c>
      <c r="I12" t="str" s="7">
        <f>B12</f>
        <v>Mohi Bayati</v>
      </c>
      <c r="J12" s="5">
        <f>D12</f>
        <v>19</v>
      </c>
    </row>
    <row r="13">
      <c r="A13" s="4">
        <v>6</v>
      </c>
      <c r="B13" t="inlineStr" s="7">
        <is>
          <t>Berk Gökşar</t>
        </is>
      </c>
      <c r="C13" s="4">
        <v>320</v>
      </c>
      <c r="D13" s="5">
        <v>17</v>
      </c>
      <c r="E13" s="5">
        <f>C13/$B$4</f>
        <v>11.42857143</v>
      </c>
      <c r="F13" s="6">
        <f>IF(C13=0,0,D13/C13)</f>
        <v>0.053125</v>
      </c>
      <c r="G13" s="4">
        <v>1</v>
      </c>
      <c r="I13" t="str" s="7">
        <f>B13</f>
        <v>Berk Gökşar</v>
      </c>
      <c r="J13" s="5">
        <f>D13</f>
        <v>17</v>
      </c>
    </row>
    <row r="14">
      <c r="A14" s="4">
        <v>7</v>
      </c>
      <c r="B14" t="inlineStr" s="7">
        <is>
          <t>Selvi Acar</t>
        </is>
      </c>
      <c r="C14" s="4">
        <v>203</v>
      </c>
      <c r="D14" s="5">
        <v>14</v>
      </c>
      <c r="E14" s="5">
        <f>C14/$B$4</f>
        <v>7.25</v>
      </c>
      <c r="F14" s="6">
        <f>IF(C14=0,0,D14/C14)</f>
        <v>0.06896551724</v>
      </c>
      <c r="G14" s="4">
        <v>1</v>
      </c>
      <c r="I14" t="str" s="7">
        <f>B14</f>
        <v>Selvi Acar</v>
      </c>
      <c r="J14" s="5">
        <f>D14</f>
        <v>14</v>
      </c>
    </row>
    <row r="15">
      <c r="A15" s="4">
        <v>8</v>
      </c>
      <c r="B15" t="inlineStr" s="7">
        <is>
          <t>Zeynep Kapucu</t>
        </is>
      </c>
      <c r="C15" s="4">
        <v>317</v>
      </c>
      <c r="D15" s="5">
        <v>13</v>
      </c>
      <c r="E15" s="5">
        <f>C15/$B$4</f>
        <v>11.32142857</v>
      </c>
      <c r="F15" s="6">
        <f>IF(C15=0,0,D15/C15)</f>
        <v>0.04100946372</v>
      </c>
      <c r="G15" s="4">
        <v>1</v>
      </c>
      <c r="I15" t="str" s="7">
        <f>B15</f>
        <v>Zeynep Kapucu</v>
      </c>
      <c r="J15" s="5">
        <f>D15</f>
        <v>13</v>
      </c>
    </row>
    <row r="16">
      <c r="A16" s="4">
        <v>9</v>
      </c>
      <c r="B16" t="inlineStr" s="7">
        <is>
          <t>Cihan Öztürk</t>
        </is>
      </c>
      <c r="C16" s="4">
        <v>300</v>
      </c>
      <c r="D16" s="5">
        <v>11</v>
      </c>
      <c r="E16" s="5">
        <f>C16/$B$4</f>
        <v>10.71428571</v>
      </c>
      <c r="F16" s="6">
        <f>IF(C16=0,0,D16/C16)</f>
        <v>0.03666666667</v>
      </c>
      <c r="G16" s="4">
        <v>1</v>
      </c>
      <c r="I16" t="str" s="7">
        <f>B16</f>
        <v>Cihan Öztürk</v>
      </c>
      <c r="J16" s="5">
        <f>D16</f>
        <v>11</v>
      </c>
    </row>
    <row r="17">
      <c r="A17" s="4">
        <v>10</v>
      </c>
      <c r="B17" t="inlineStr" s="7">
        <is>
          <t>Hazal Varol</t>
        </is>
      </c>
      <c r="C17" s="4">
        <v>258</v>
      </c>
      <c r="D17" s="5">
        <v>11</v>
      </c>
      <c r="E17" s="5">
        <f>C17/$B$4</f>
        <v>9.214285714</v>
      </c>
      <c r="F17" s="6">
        <f>IF(C17=0,0,D17/C17)</f>
        <v>0.04263565891</v>
      </c>
      <c r="G17" s="4">
        <v>1</v>
      </c>
      <c r="I17" t="str" s="7">
        <f>B17</f>
        <v>Hazal Varol</v>
      </c>
      <c r="J17" s="5">
        <f>D17</f>
        <v>11</v>
      </c>
    </row>
    <row r="18">
      <c r="A18" s="4">
        <v>11</v>
      </c>
      <c r="B18" t="inlineStr" s="7">
        <is>
          <t>Ece Bakırtaş</t>
        </is>
      </c>
      <c r="C18" s="4">
        <v>257</v>
      </c>
      <c r="D18" s="5">
        <v>11</v>
      </c>
      <c r="E18" s="5">
        <f>C18/$B$4</f>
        <v>9.178571429</v>
      </c>
      <c r="F18" s="6">
        <f>IF(C18=0,0,D18/C18)</f>
        <v>0.04280155642</v>
      </c>
      <c r="G18" s="4">
        <v>1</v>
      </c>
    </row>
    <row r="19">
      <c r="A19" s="4">
        <v>12</v>
      </c>
      <c r="B19" t="inlineStr" s="7">
        <is>
          <t>Ayşe Nur Berberoğlu</t>
        </is>
      </c>
      <c r="C19" s="4">
        <v>254</v>
      </c>
      <c r="D19" s="5">
        <v>11</v>
      </c>
      <c r="E19" s="5">
        <f>C19/$B$4</f>
        <v>9.071428571</v>
      </c>
      <c r="F19" s="6">
        <f>IF(C19=0,0,D19/C19)</f>
        <v>0.04330708661</v>
      </c>
      <c r="G19" s="4">
        <v>1</v>
      </c>
    </row>
    <row r="20">
      <c r="A20" s="4">
        <v>13</v>
      </c>
      <c r="B20" t="inlineStr" s="7">
        <is>
          <t>Kerem Saçaklı</t>
        </is>
      </c>
      <c r="C20" s="4">
        <v>237</v>
      </c>
      <c r="D20" s="5">
        <v>11</v>
      </c>
      <c r="E20" s="5">
        <f>C20/$B$4</f>
        <v>8.464285714</v>
      </c>
      <c r="F20" s="6">
        <f>IF(C20=0,0,D20/C20)</f>
        <v>0.04641350211</v>
      </c>
      <c r="G20" s="4">
        <v>1</v>
      </c>
    </row>
    <row r="21">
      <c r="A21" s="4">
        <v>14</v>
      </c>
      <c r="B21" t="inlineStr" s="7">
        <is>
          <t>Simay Cemre Aydoğan</t>
        </is>
      </c>
      <c r="C21" s="4">
        <v>247</v>
      </c>
      <c r="D21" s="5">
        <v>10</v>
      </c>
      <c r="E21" s="5">
        <f>C21/$B$4</f>
        <v>8.821428571</v>
      </c>
      <c r="F21" s="6">
        <f>IF(C21=0,0,D21/C21)</f>
        <v>0.04048582996</v>
      </c>
      <c r="G21" s="4">
        <v>1</v>
      </c>
    </row>
    <row r="22">
      <c r="A22" s="4">
        <v>15</v>
      </c>
      <c r="B22" t="inlineStr" s="7">
        <is>
          <t>Ceren İrem Çakır</t>
        </is>
      </c>
      <c r="C22" s="4">
        <v>237</v>
      </c>
      <c r="D22" s="5">
        <v>10</v>
      </c>
      <c r="E22" s="5">
        <f>C22/$B$4</f>
        <v>8.464285714</v>
      </c>
      <c r="F22" s="6">
        <f>IF(C22=0,0,D22/C22)</f>
        <v>0.04219409283</v>
      </c>
      <c r="G22" s="4">
        <v>1</v>
      </c>
    </row>
    <row r="23">
      <c r="A23" s="4">
        <v>16</v>
      </c>
      <c r="B23" t="inlineStr" s="7">
        <is>
          <t>Sevcan Erol</t>
        </is>
      </c>
      <c r="C23" s="4">
        <v>209</v>
      </c>
      <c r="D23" s="5">
        <v>10</v>
      </c>
      <c r="E23" s="5">
        <f>C23/$B$4</f>
        <v>7.464285714</v>
      </c>
      <c r="F23" s="6">
        <f>IF(C23=0,0,D23/C23)</f>
        <v>0.04784688995</v>
      </c>
      <c r="G23" s="4">
        <v>1</v>
      </c>
    </row>
    <row r="24">
      <c r="A24" s="4">
        <v>17</v>
      </c>
      <c r="B24" t="inlineStr" s="7">
        <is>
          <t>Oğuzhan Ünal</t>
        </is>
      </c>
      <c r="C24" s="4">
        <v>85</v>
      </c>
      <c r="D24" s="5">
        <v>8</v>
      </c>
      <c r="E24" s="5">
        <f>C24/$B$4</f>
        <v>3.035714286</v>
      </c>
      <c r="F24" s="6">
        <f>IF(C24=0,0,D24/C24)</f>
        <v>0.09411764706</v>
      </c>
      <c r="G24" s="4">
        <v>1</v>
      </c>
    </row>
    <row r="25">
      <c r="A25" s="4">
        <v>18</v>
      </c>
      <c r="B25" t="inlineStr" s="7">
        <is>
          <t>Berivan Barca</t>
        </is>
      </c>
      <c r="C25" s="4">
        <v>277</v>
      </c>
      <c r="D25" s="5">
        <v>7</v>
      </c>
      <c r="E25" s="5">
        <f>C25/$B$4</f>
        <v>9.892857143</v>
      </c>
      <c r="F25" s="6">
        <f>IF(C25=0,0,D25/C25)</f>
        <v>0.02527075812</v>
      </c>
      <c r="G25" s="4">
        <v>1</v>
      </c>
    </row>
    <row r="26">
      <c r="A26" s="4">
        <v>19</v>
      </c>
      <c r="B26" t="inlineStr" s="7">
        <is>
          <t>Ahmet Ayaz</t>
        </is>
      </c>
      <c r="C26" s="4">
        <v>157</v>
      </c>
      <c r="D26" s="5">
        <v>7</v>
      </c>
      <c r="E26" s="5">
        <f>C26/$B$4</f>
        <v>5.607142857</v>
      </c>
      <c r="F26" s="6">
        <f>IF(C26=0,0,D26/C26)</f>
        <v>0.04458598726</v>
      </c>
      <c r="G26" s="4">
        <v>1</v>
      </c>
    </row>
    <row r="27">
      <c r="A27" s="4">
        <v>20</v>
      </c>
      <c r="B27" t="inlineStr" s="7">
        <is>
          <t>Büşra Asyalı</t>
        </is>
      </c>
      <c r="C27" s="4">
        <v>170</v>
      </c>
      <c r="D27" s="5">
        <v>6</v>
      </c>
      <c r="E27" s="5">
        <f>C27/$B$4</f>
        <v>6.071428571</v>
      </c>
      <c r="F27" s="6">
        <f>IF(C27=0,0,D27/C27)</f>
        <v>0.03529411765</v>
      </c>
      <c r="G27" s="4">
        <v>1</v>
      </c>
    </row>
    <row r="28">
      <c r="A28" s="4">
        <v>21</v>
      </c>
      <c r="B28" t="inlineStr" s="7">
        <is>
          <t>İsa Bahadır Adak</t>
        </is>
      </c>
      <c r="C28" s="4">
        <v>243</v>
      </c>
      <c r="D28" s="5">
        <v>5.75</v>
      </c>
      <c r="E28" s="5">
        <f>C28/$B$4</f>
        <v>8.678571429</v>
      </c>
      <c r="F28" s="6">
        <f>IF(C28=0,0,D28/C28)</f>
        <v>0.02366255144</v>
      </c>
      <c r="G28" s="4">
        <v>1</v>
      </c>
    </row>
    <row r="29">
      <c r="A29" s="4">
        <v>22</v>
      </c>
      <c r="B29" t="inlineStr" s="7">
        <is>
          <t>Bahar Yavuzsüslü</t>
        </is>
      </c>
      <c r="C29" s="4">
        <v>41</v>
      </c>
      <c r="D29" s="5">
        <v>3</v>
      </c>
      <c r="E29" s="5">
        <f>C29/$B$4</f>
        <v>1.464285714</v>
      </c>
      <c r="F29" s="6">
        <f>IF(C29=0,0,D29/C29)</f>
        <v>0.07317073171</v>
      </c>
      <c r="G29" s="4">
        <v>1</v>
      </c>
    </row>
    <row r="30">
      <c r="A30" s="4">
        <v>23</v>
      </c>
      <c r="B30" t="inlineStr" s="7">
        <is>
          <t>Ümmühan Karagöz</t>
        </is>
      </c>
      <c r="C30" s="4">
        <v>83</v>
      </c>
      <c r="D30" s="5">
        <v>2</v>
      </c>
      <c r="E30" s="5">
        <f>C30/$B$4</f>
        <v>2.964285714</v>
      </c>
      <c r="F30" s="6">
        <f>IF(C30=0,0,D30/C30)</f>
        <v>0.02409638554</v>
      </c>
      <c r="G30" s="4">
        <v>1</v>
      </c>
    </row>
    <row r="31">
      <c r="A31" s="4">
        <v>24</v>
      </c>
      <c r="B31" t="inlineStr" s="7">
        <is>
          <t>Sebahat Özbey</t>
        </is>
      </c>
      <c r="C31" s="4">
        <v>114</v>
      </c>
      <c r="D31" s="5">
        <v>0</v>
      </c>
      <c r="E31" s="5">
        <f>C31/$B$4</f>
        <v>4.071428571</v>
      </c>
      <c r="F31" s="6">
        <f>IF(C31=0,0,D31/C31)</f>
        <v>0</v>
      </c>
      <c r="G31" s="4">
        <v>1</v>
      </c>
    </row>
  </sheetData>
  <mergeCells count="1">
    <mergeCell ref="A1:G1"/>
  </mergeCells>
  <autoFilter ref="A7:G31"/>
  <drawing r:id="rId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1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8"/>
  <cols>
    <col min="1" max="1" width="8" customWidth="1"/>
    <col min="2" max="2" width="28" customWidth="1"/>
    <col min="3" max="4" width="14" customWidth="1"/>
    <col min="5" max="6" width="16" customWidth="1"/>
    <col min="7" max="7" width="12" customWidth="1"/>
    <col min="8" max="8" width="3" customWidth="1"/>
    <col min="9" max="9" width="26" customWidth="1"/>
    <col min="10" max="10" width="12" customWidth="1"/>
    <col min="11" max="19" width="14" customWidth="1"/>
  </cols>
  <sheetData>
    <row r="1" ht="26" customHeight="1">
      <c r="A1" t="inlineStr" s="1">
        <is>
          <t>Sales Stats - Mart</t>
        </is>
      </c>
    </row>
    <row r="3" ht="21" customHeight="1">
      <c r="A3" t="inlineStr" s="3">
        <is>
          <t>Total Leads</t>
        </is>
      </c>
      <c r="B3" s="8">
        <f>SUM(C8:C31)</f>
        <v>5583</v>
      </c>
      <c r="C3" t="inlineStr" s="3">
        <is>
          <t>Total Kapora</t>
        </is>
      </c>
      <c r="D3" s="9">
        <f>SUM(D8:D31)</f>
        <v>243</v>
      </c>
      <c r="E3" t="inlineStr" s="3">
        <is>
          <t>Conversion Rate</t>
        </is>
      </c>
      <c r="F3" s="6">
        <f>IF(B3=0,0,D3/B3)</f>
        <v>0.04352498657</v>
      </c>
    </row>
    <row r="4" ht="21" customHeight="1">
      <c r="A4" t="inlineStr" s="3">
        <is>
          <t>Days in Table</t>
        </is>
      </c>
      <c r="B4" s="4">
        <v>29</v>
      </c>
      <c r="C4" t="inlineStr" s="3">
        <is>
          <t>Salespeople</t>
        </is>
      </c>
      <c r="D4" s="4">
        <f>COUNTA(B8:B31)</f>
        <v>24</v>
      </c>
      <c r="E4" t="inlineStr" s="3">
        <is>
          <t>Source Rows</t>
        </is>
      </c>
      <c r="F4" s="4">
        <f>SUM(G8:G31)</f>
        <v>26</v>
      </c>
    </row>
    <row r="7" ht="22" customHeight="1">
      <c r="A7" t="inlineStr" s="2">
        <is>
          <t>Rank</t>
        </is>
      </c>
      <c r="B7" t="inlineStr" s="2">
        <is>
          <t>Salesman</t>
        </is>
      </c>
      <c r="C7" t="inlineStr" s="2">
        <is>
          <t>Total Leads</t>
        </is>
      </c>
      <c r="D7" t="inlineStr" s="2">
        <is>
          <t>Total Kapora</t>
        </is>
      </c>
      <c r="E7" t="inlineStr" s="2">
        <is>
          <t>Daily Avg Leads</t>
        </is>
      </c>
      <c r="F7" t="inlineStr" s="2">
        <is>
          <t>Conversion Rate</t>
        </is>
      </c>
      <c r="G7" t="inlineStr" s="2">
        <is>
          <t>Source Rows</t>
        </is>
      </c>
      <c r="I7" t="inlineStr" s="10">
        <is>
          <t>Top 10 Kapora</t>
        </is>
      </c>
      <c r="J7" t="inlineStr" s="10">
        <is>
          <t>Kapora</t>
        </is>
      </c>
    </row>
    <row r="8">
      <c r="A8" s="4">
        <v>1</v>
      </c>
      <c r="B8" t="inlineStr" s="11">
        <is>
          <t>Ceren İrem Çakır</t>
        </is>
      </c>
      <c r="C8" s="4">
        <v>237</v>
      </c>
      <c r="D8" s="5">
        <v>24</v>
      </c>
      <c r="E8" s="5">
        <f>C8/$B$4</f>
        <v>8.172413793</v>
      </c>
      <c r="F8" s="6">
        <f>IF(C8=0,0,D8/C8)</f>
        <v>0.1012658228</v>
      </c>
      <c r="G8" s="4">
        <v>1</v>
      </c>
      <c r="I8" t="str" s="7">
        <f>B8</f>
        <v>Ceren İrem Çakır</v>
      </c>
      <c r="J8" s="5">
        <f>D8</f>
        <v>24</v>
      </c>
    </row>
    <row r="9">
      <c r="A9" s="4">
        <v>2</v>
      </c>
      <c r="B9" t="inlineStr" s="11">
        <is>
          <t>Ayşe Nur Berberoğlu</t>
        </is>
      </c>
      <c r="C9" s="4">
        <v>268</v>
      </c>
      <c r="D9" s="5">
        <v>22</v>
      </c>
      <c r="E9" s="5">
        <f>C9/$B$4</f>
        <v>9.24137931</v>
      </c>
      <c r="F9" s="6">
        <f>IF(C9=0,0,D9/C9)</f>
        <v>0.08208955224</v>
      </c>
      <c r="G9" s="4">
        <v>1</v>
      </c>
      <c r="I9" t="str" s="7">
        <f>B9</f>
        <v>Ayşe Nur Berberoğlu</v>
      </c>
      <c r="J9" s="5">
        <f>D9</f>
        <v>22</v>
      </c>
    </row>
    <row r="10">
      <c r="A10" s="4">
        <v>3</v>
      </c>
      <c r="B10" t="inlineStr" s="11">
        <is>
          <t>Onur Mert</t>
        </is>
      </c>
      <c r="C10" s="4">
        <v>250</v>
      </c>
      <c r="D10" s="5">
        <v>19</v>
      </c>
      <c r="E10" s="5">
        <f>C10/$B$4</f>
        <v>8.620689655</v>
      </c>
      <c r="F10" s="6">
        <f>IF(C10=0,0,D10/C10)</f>
        <v>0.076</v>
      </c>
      <c r="G10" s="4">
        <v>1</v>
      </c>
      <c r="I10" t="str" s="7">
        <f>B10</f>
        <v>Onur Mert</v>
      </c>
      <c r="J10" s="5">
        <f>D10</f>
        <v>19</v>
      </c>
    </row>
    <row r="11">
      <c r="A11" s="4">
        <v>4</v>
      </c>
      <c r="B11" t="inlineStr" s="7">
        <is>
          <t>Cihan Öztürk</t>
        </is>
      </c>
      <c r="C11" s="4">
        <v>391</v>
      </c>
      <c r="D11" s="5">
        <v>16</v>
      </c>
      <c r="E11" s="5">
        <f>C11/$B$4</f>
        <v>13.48275862</v>
      </c>
      <c r="F11" s="6">
        <f>IF(C11=0,0,D11/C11)</f>
        <v>0.04092071611</v>
      </c>
      <c r="G11" s="4">
        <v>1</v>
      </c>
      <c r="I11" t="str" s="7">
        <f>B11</f>
        <v>Cihan Öztürk</v>
      </c>
      <c r="J11" s="5">
        <f>D11</f>
        <v>16</v>
      </c>
    </row>
    <row r="12">
      <c r="A12" s="4">
        <v>5</v>
      </c>
      <c r="B12" t="inlineStr" s="7">
        <is>
          <t>Sefa Üzgül</t>
        </is>
      </c>
      <c r="C12" s="4">
        <v>247</v>
      </c>
      <c r="D12" s="5">
        <v>16</v>
      </c>
      <c r="E12" s="5">
        <f>C12/$B$4</f>
        <v>8.517241379</v>
      </c>
      <c r="F12" s="6">
        <f>IF(C12=0,0,D12/C12)</f>
        <v>0.06477732794</v>
      </c>
      <c r="G12" s="4">
        <v>1</v>
      </c>
      <c r="I12" t="str" s="7">
        <f>B12</f>
        <v>Sefa Üzgül</v>
      </c>
      <c r="J12" s="5">
        <f>D12</f>
        <v>16</v>
      </c>
    </row>
    <row r="13">
      <c r="A13" s="4">
        <v>6</v>
      </c>
      <c r="B13" t="inlineStr" s="7">
        <is>
          <t>Azra Çil</t>
        </is>
      </c>
      <c r="C13" s="4">
        <v>338</v>
      </c>
      <c r="D13" s="5">
        <v>13</v>
      </c>
      <c r="E13" s="5">
        <f>C13/$B$4</f>
        <v>11.65517241</v>
      </c>
      <c r="F13" s="6">
        <f>IF(C13=0,0,D13/C13)</f>
        <v>0.03846153846</v>
      </c>
      <c r="G13" s="4">
        <v>2</v>
      </c>
      <c r="I13" t="str" s="7">
        <f>B13</f>
        <v>Azra Çil</v>
      </c>
      <c r="J13" s="5">
        <f>D13</f>
        <v>13</v>
      </c>
    </row>
    <row r="14">
      <c r="A14" s="4">
        <v>7</v>
      </c>
      <c r="B14" t="inlineStr" s="7">
        <is>
          <t>Zeynep Kapucu</t>
        </is>
      </c>
      <c r="C14" s="4">
        <v>275</v>
      </c>
      <c r="D14" s="5">
        <v>13</v>
      </c>
      <c r="E14" s="5">
        <f>C14/$B$4</f>
        <v>9.482758621</v>
      </c>
      <c r="F14" s="6">
        <f>IF(C14=0,0,D14/C14)</f>
        <v>0.04727272727</v>
      </c>
      <c r="G14" s="4">
        <v>1</v>
      </c>
      <c r="I14" t="str" s="7">
        <f>B14</f>
        <v>Zeynep Kapucu</v>
      </c>
      <c r="J14" s="5">
        <f>D14</f>
        <v>13</v>
      </c>
    </row>
    <row r="15">
      <c r="A15" s="4">
        <v>8</v>
      </c>
      <c r="B15" t="inlineStr" s="7">
        <is>
          <t>Umut Durmaz</t>
        </is>
      </c>
      <c r="C15" s="4">
        <v>327</v>
      </c>
      <c r="D15" s="5">
        <v>12</v>
      </c>
      <c r="E15" s="5">
        <f>C15/$B$4</f>
        <v>11.27586207</v>
      </c>
      <c r="F15" s="6">
        <f>IF(C15=0,0,D15/C15)</f>
        <v>0.03669724771</v>
      </c>
      <c r="G15" s="4">
        <v>1</v>
      </c>
      <c r="I15" t="str" s="7">
        <f>B15</f>
        <v>Umut Durmaz</v>
      </c>
      <c r="J15" s="5">
        <f>D15</f>
        <v>12</v>
      </c>
    </row>
    <row r="16">
      <c r="A16" s="4">
        <v>9</v>
      </c>
      <c r="B16" t="inlineStr" s="7">
        <is>
          <t>Hazal Varol</t>
        </is>
      </c>
      <c r="C16" s="4">
        <v>265</v>
      </c>
      <c r="D16" s="5">
        <v>12</v>
      </c>
      <c r="E16" s="5">
        <f>C16/$B$4</f>
        <v>9.137931034</v>
      </c>
      <c r="F16" s="6">
        <f>IF(C16=0,0,D16/C16)</f>
        <v>0.04528301887</v>
      </c>
      <c r="G16" s="4">
        <v>1</v>
      </c>
      <c r="I16" t="str" s="7">
        <f>B16</f>
        <v>Hazal Varol</v>
      </c>
      <c r="J16" s="5">
        <f>D16</f>
        <v>12</v>
      </c>
    </row>
    <row r="17">
      <c r="A17" s="4">
        <v>10</v>
      </c>
      <c r="B17" t="inlineStr" s="7">
        <is>
          <t>Berk Gökşar</t>
        </is>
      </c>
      <c r="C17" s="4">
        <v>335</v>
      </c>
      <c r="D17" s="5">
        <v>11</v>
      </c>
      <c r="E17" s="5">
        <f>C17/$B$4</f>
        <v>11.55172414</v>
      </c>
      <c r="F17" s="6">
        <f>IF(C17=0,0,D17/C17)</f>
        <v>0.0328358209</v>
      </c>
      <c r="G17" s="4">
        <v>1</v>
      </c>
      <c r="I17" t="str" s="7">
        <f>B17</f>
        <v>Berk Gökşar</v>
      </c>
      <c r="J17" s="5">
        <f>D17</f>
        <v>11</v>
      </c>
    </row>
    <row r="18">
      <c r="A18" s="4">
        <v>11</v>
      </c>
      <c r="B18" t="inlineStr" s="7">
        <is>
          <t>Büşra Asyalı</t>
        </is>
      </c>
      <c r="C18" s="4">
        <v>317</v>
      </c>
      <c r="D18" s="5">
        <v>10</v>
      </c>
      <c r="E18" s="5">
        <f>C18/$B$4</f>
        <v>10.93103448</v>
      </c>
      <c r="F18" s="6">
        <f>IF(C18=0,0,D18/C18)</f>
        <v>0.03154574132</v>
      </c>
      <c r="G18" s="4">
        <v>1</v>
      </c>
    </row>
    <row r="19">
      <c r="A19" s="4">
        <v>12</v>
      </c>
      <c r="B19" t="inlineStr" s="7">
        <is>
          <t>Kerem Saçaklı</t>
        </is>
      </c>
      <c r="C19" s="4">
        <v>252</v>
      </c>
      <c r="D19" s="5">
        <v>10</v>
      </c>
      <c r="E19" s="5">
        <f>C19/$B$4</f>
        <v>8.689655172</v>
      </c>
      <c r="F19" s="6">
        <f>IF(C19=0,0,D19/C19)</f>
        <v>0.03968253968</v>
      </c>
      <c r="G19" s="4">
        <v>1</v>
      </c>
    </row>
    <row r="20">
      <c r="A20" s="4">
        <v>13</v>
      </c>
      <c r="B20" t="inlineStr" s="7">
        <is>
          <t>Ece Bakırtaş</t>
        </is>
      </c>
      <c r="C20" s="4">
        <v>238</v>
      </c>
      <c r="D20" s="5">
        <v>10</v>
      </c>
      <c r="E20" s="5">
        <f>C20/$B$4</f>
        <v>8.206896552</v>
      </c>
      <c r="F20" s="6">
        <f>IF(C20=0,0,D20/C20)</f>
        <v>0.04201680672</v>
      </c>
      <c r="G20" s="4">
        <v>1</v>
      </c>
    </row>
    <row r="21">
      <c r="A21" s="4">
        <v>14</v>
      </c>
      <c r="B21" t="inlineStr" s="7">
        <is>
          <t>Simay Cemre Aydoğan</t>
        </is>
      </c>
      <c r="C21" s="4">
        <v>325</v>
      </c>
      <c r="D21" s="5">
        <v>9</v>
      </c>
      <c r="E21" s="5">
        <f>C21/$B$4</f>
        <v>11.20689655</v>
      </c>
      <c r="F21" s="6">
        <f>IF(C21=0,0,D21/C21)</f>
        <v>0.02769230769</v>
      </c>
      <c r="G21" s="4">
        <v>1</v>
      </c>
    </row>
    <row r="22">
      <c r="A22" s="4">
        <v>15</v>
      </c>
      <c r="B22" t="inlineStr" s="7">
        <is>
          <t>Sevcan Erol</t>
        </is>
      </c>
      <c r="C22" s="4">
        <v>208</v>
      </c>
      <c r="D22" s="5">
        <v>9</v>
      </c>
      <c r="E22" s="5">
        <f>C22/$B$4</f>
        <v>7.172413793</v>
      </c>
      <c r="F22" s="6">
        <f>IF(C22=0,0,D22/C22)</f>
        <v>0.04326923077</v>
      </c>
      <c r="G22" s="4">
        <v>1</v>
      </c>
    </row>
    <row r="23">
      <c r="A23" s="4">
        <v>16</v>
      </c>
      <c r="B23" t="inlineStr" s="7">
        <is>
          <t>Selvi Acar</t>
        </is>
      </c>
      <c r="C23" s="4">
        <v>239</v>
      </c>
      <c r="D23" s="5">
        <v>7</v>
      </c>
      <c r="E23" s="5">
        <f>C23/$B$4</f>
        <v>8.24137931</v>
      </c>
      <c r="F23" s="6">
        <f>IF(C23=0,0,D23/C23)</f>
        <v>0.02928870293</v>
      </c>
      <c r="G23" s="4">
        <v>1</v>
      </c>
    </row>
    <row r="24">
      <c r="A24" s="4">
        <v>17</v>
      </c>
      <c r="B24" t="inlineStr" s="7">
        <is>
          <t>Ümmühan Karagöz</t>
        </is>
      </c>
      <c r="C24" s="4">
        <v>125</v>
      </c>
      <c r="D24" s="5">
        <v>6</v>
      </c>
      <c r="E24" s="5">
        <f>C24/$B$4</f>
        <v>4.310344828</v>
      </c>
      <c r="F24" s="6">
        <f>IF(C24=0,0,D24/C24)</f>
        <v>0.048</v>
      </c>
      <c r="G24" s="4">
        <v>1</v>
      </c>
    </row>
    <row r="25">
      <c r="A25" s="4">
        <v>18</v>
      </c>
      <c r="B25" t="inlineStr" s="7">
        <is>
          <t>Oğuzhan Ünal</t>
        </is>
      </c>
      <c r="C25" s="4">
        <v>129</v>
      </c>
      <c r="D25" s="5">
        <v>5</v>
      </c>
      <c r="E25" s="5">
        <f>C25/$B$4</f>
        <v>4.448275862</v>
      </c>
      <c r="F25" s="6">
        <f>IF(C25=0,0,D25/C25)</f>
        <v>0.03875968992</v>
      </c>
      <c r="G25" s="4">
        <v>1</v>
      </c>
    </row>
    <row r="26">
      <c r="A26" s="4">
        <v>19</v>
      </c>
      <c r="B26" t="inlineStr" s="7">
        <is>
          <t>Mohi Bayati</t>
        </is>
      </c>
      <c r="C26" s="4">
        <v>268</v>
      </c>
      <c r="D26" s="5">
        <v>4</v>
      </c>
      <c r="E26" s="5">
        <f>C26/$B$4</f>
        <v>9.24137931</v>
      </c>
      <c r="F26" s="6">
        <f>IF(C26=0,0,D26/C26)</f>
        <v>0.01492537313</v>
      </c>
      <c r="G26" s="4">
        <v>2</v>
      </c>
    </row>
    <row r="27">
      <c r="A27" s="4">
        <v>20</v>
      </c>
      <c r="B27" t="inlineStr" s="7">
        <is>
          <t>Nadin Dari</t>
        </is>
      </c>
      <c r="C27" s="4">
        <v>165</v>
      </c>
      <c r="D27" s="5">
        <v>4</v>
      </c>
      <c r="E27" s="5">
        <f>C27/$B$4</f>
        <v>5.689655172</v>
      </c>
      <c r="F27" s="6">
        <f>IF(C27=0,0,D27/C27)</f>
        <v>0.02424242424</v>
      </c>
      <c r="G27" s="4">
        <v>1</v>
      </c>
    </row>
    <row r="28">
      <c r="A28" s="4">
        <v>21</v>
      </c>
      <c r="B28" t="inlineStr" s="7">
        <is>
          <t>Ahmet Ayaz</t>
        </is>
      </c>
      <c r="C28" s="4">
        <v>81</v>
      </c>
      <c r="D28" s="5">
        <v>4</v>
      </c>
      <c r="E28" s="5">
        <f>C28/$B$4</f>
        <v>2.793103448</v>
      </c>
      <c r="F28" s="6">
        <f>IF(C28=0,0,D28/C28)</f>
        <v>0.04938271605</v>
      </c>
      <c r="G28" s="4">
        <v>1</v>
      </c>
    </row>
    <row r="29">
      <c r="A29" s="4">
        <v>22</v>
      </c>
      <c r="B29" t="inlineStr" s="7">
        <is>
          <t>Gurbet Bozkuş</t>
        </is>
      </c>
      <c r="C29" s="4">
        <v>205</v>
      </c>
      <c r="D29" s="5">
        <v>3</v>
      </c>
      <c r="E29" s="5">
        <f>C29/$B$4</f>
        <v>7.068965517</v>
      </c>
      <c r="F29" s="6">
        <f>IF(C29=0,0,D29/C29)</f>
        <v>0.01463414634</v>
      </c>
      <c r="G29" s="4">
        <v>1</v>
      </c>
    </row>
    <row r="30">
      <c r="A30" s="4">
        <v>23</v>
      </c>
      <c r="B30" t="inlineStr" s="7">
        <is>
          <t>Sebahat Özbey</t>
        </is>
      </c>
      <c r="C30" s="4">
        <v>73</v>
      </c>
      <c r="D30" s="5">
        <v>3</v>
      </c>
      <c r="E30" s="5">
        <f>C30/$B$4</f>
        <v>2.517241379</v>
      </c>
      <c r="F30" s="6">
        <f>IF(C30=0,0,D30/C30)</f>
        <v>0.04109589041</v>
      </c>
      <c r="G30" s="4">
        <v>1</v>
      </c>
    </row>
    <row r="31">
      <c r="A31" s="4">
        <v>24</v>
      </c>
      <c r="B31" t="inlineStr" s="7">
        <is>
          <t>Bahar Yavuzsüslü</t>
        </is>
      </c>
      <c r="C31" s="4">
        <v>25</v>
      </c>
      <c r="D31" s="5">
        <v>1</v>
      </c>
      <c r="E31" s="5">
        <f>C31/$B$4</f>
        <v>0.8620689655</v>
      </c>
      <c r="F31" s="6">
        <f>IF(C31=0,0,D31/C31)</f>
        <v>0.04</v>
      </c>
      <c r="G31" s="4">
        <v>1</v>
      </c>
    </row>
  </sheetData>
  <mergeCells count="1">
    <mergeCell ref="A1:G1"/>
  </mergeCells>
  <autoFilter ref="A7:G31"/>
  <drawing r:id="rId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showGridLines="0" workbookViewId="0">
      <pane ySplit="7" topLeftCell="A8" activePane="bottomLeft" state="frozen"/>
      <selection pane="bottomLeft" activeCell="A8" sqref="A8"/>
    </sheetView>
  </sheetViews>
  <sheetFormatPr defaultRowHeight="18"/>
  <cols>
    <col min="1" max="1" width="8" customWidth="1"/>
    <col min="2" max="2" width="28" customWidth="1"/>
    <col min="3" max="4" width="14" customWidth="1"/>
    <col min="5" max="6" width="16" customWidth="1"/>
    <col min="7" max="7" width="12" customWidth="1"/>
    <col min="8" max="8" width="3" customWidth="1"/>
    <col min="9" max="9" width="26" customWidth="1"/>
    <col min="10" max="10" width="12" customWidth="1"/>
    <col min="11" max="19" width="14" customWidth="1"/>
  </cols>
  <sheetData>
    <row r="1" ht="26" customHeight="1">
      <c r="A1" t="inlineStr" s="1">
        <is>
          <t>Sales Stats - Nisan</t>
        </is>
      </c>
    </row>
    <row r="3" ht="21" customHeight="1">
      <c r="A3" t="inlineStr" s="3">
        <is>
          <t>Total Leads</t>
        </is>
      </c>
      <c r="B3" s="8">
        <f>SUM(C8:C32)</f>
        <v>6514</v>
      </c>
      <c r="C3" t="inlineStr" s="3">
        <is>
          <t>Total Kapora</t>
        </is>
      </c>
      <c r="D3" s="9">
        <f>SUM(D8:D32)</f>
        <v>265</v>
      </c>
      <c r="E3" t="inlineStr" s="3">
        <is>
          <t>Conversion Rate</t>
        </is>
      </c>
      <c r="F3" s="6">
        <f>IF(B3=0,0,D3/B3)</f>
        <v>0.04068160884</v>
      </c>
    </row>
    <row r="4" ht="21" customHeight="1">
      <c r="A4" t="inlineStr" s="3">
        <is>
          <t>Days in Table</t>
        </is>
      </c>
      <c r="B4" s="4">
        <v>30</v>
      </c>
      <c r="C4" t="inlineStr" s="3">
        <is>
          <t>Salespeople</t>
        </is>
      </c>
      <c r="D4" s="4">
        <f>COUNTA(B8:B32)</f>
        <v>25</v>
      </c>
      <c r="E4" t="inlineStr" s="3">
        <is>
          <t>Source Rows</t>
        </is>
      </c>
      <c r="F4" s="4">
        <f>SUM(G8:G32)</f>
        <v>27</v>
      </c>
    </row>
    <row r="7" ht="22" customHeight="1">
      <c r="A7" t="inlineStr" s="2">
        <is>
          <t>Rank</t>
        </is>
      </c>
      <c r="B7" t="inlineStr" s="2">
        <is>
          <t>Salesman</t>
        </is>
      </c>
      <c r="C7" t="inlineStr" s="2">
        <is>
          <t>Total Leads</t>
        </is>
      </c>
      <c r="D7" t="inlineStr" s="2">
        <is>
          <t>Total Kapora</t>
        </is>
      </c>
      <c r="E7" t="inlineStr" s="2">
        <is>
          <t>Daily Avg Leads</t>
        </is>
      </c>
      <c r="F7" t="inlineStr" s="2">
        <is>
          <t>Conversion Rate</t>
        </is>
      </c>
      <c r="G7" t="inlineStr" s="2">
        <is>
          <t>Source Rows</t>
        </is>
      </c>
      <c r="I7" t="inlineStr" s="10">
        <is>
          <t>Top 10 Kapora</t>
        </is>
      </c>
      <c r="J7" t="inlineStr" s="10">
        <is>
          <t>Kapora</t>
        </is>
      </c>
    </row>
    <row r="8">
      <c r="A8" s="4">
        <v>1</v>
      </c>
      <c r="B8" t="inlineStr" s="11">
        <is>
          <t>Azra Çil</t>
        </is>
      </c>
      <c r="C8" s="4">
        <v>382</v>
      </c>
      <c r="D8" s="5">
        <v>25</v>
      </c>
      <c r="E8" s="5">
        <f>C8/$B$4</f>
        <v>12.73333333</v>
      </c>
      <c r="F8" s="6">
        <f>IF(C8=0,0,D8/C8)</f>
        <v>0.06544502618</v>
      </c>
      <c r="G8" s="4">
        <v>2</v>
      </c>
      <c r="I8" t="str" s="7">
        <f>B8</f>
        <v>Azra Çil</v>
      </c>
      <c r="J8" s="5">
        <f>D8</f>
        <v>25</v>
      </c>
    </row>
    <row r="9">
      <c r="A9" s="4">
        <v>2</v>
      </c>
      <c r="B9" t="inlineStr" s="11">
        <is>
          <t>Cihan Öztürk</t>
        </is>
      </c>
      <c r="C9" s="4">
        <v>428</v>
      </c>
      <c r="D9" s="5">
        <v>19</v>
      </c>
      <c r="E9" s="5">
        <f>C9/$B$4</f>
        <v>14.26666667</v>
      </c>
      <c r="F9" s="6">
        <f>IF(C9=0,0,D9/C9)</f>
        <v>0.04439252336</v>
      </c>
      <c r="G9" s="4">
        <v>1</v>
      </c>
      <c r="I9" t="str" s="7">
        <f>B9</f>
        <v>Cihan Öztürk</v>
      </c>
      <c r="J9" s="5">
        <f>D9</f>
        <v>19</v>
      </c>
    </row>
    <row r="10">
      <c r="A10" s="4">
        <v>3</v>
      </c>
      <c r="B10" t="inlineStr" s="11">
        <is>
          <t>Onur Mert</t>
        </is>
      </c>
      <c r="C10" s="4">
        <v>325</v>
      </c>
      <c r="D10" s="5">
        <v>19</v>
      </c>
      <c r="E10" s="5">
        <f>C10/$B$4</f>
        <v>10.83333333</v>
      </c>
      <c r="F10" s="6">
        <f>IF(C10=0,0,D10/C10)</f>
        <v>0.05846153846</v>
      </c>
      <c r="G10" s="4">
        <v>1</v>
      </c>
      <c r="I10" t="str" s="7">
        <f>B10</f>
        <v>Onur Mert</v>
      </c>
      <c r="J10" s="5">
        <f>D10</f>
        <v>19</v>
      </c>
    </row>
    <row r="11">
      <c r="A11" s="4">
        <v>4</v>
      </c>
      <c r="B11" t="inlineStr" s="7">
        <is>
          <t>Sefa Üzgül</t>
        </is>
      </c>
      <c r="C11" s="4">
        <v>257</v>
      </c>
      <c r="D11" s="5">
        <v>19</v>
      </c>
      <c r="E11" s="5">
        <f>C11/$B$4</f>
        <v>8.566666667</v>
      </c>
      <c r="F11" s="6">
        <f>IF(C11=0,0,D11/C11)</f>
        <v>0.07392996109</v>
      </c>
      <c r="G11" s="4">
        <v>1</v>
      </c>
      <c r="I11" t="str" s="7">
        <f>B11</f>
        <v>Sefa Üzgül</v>
      </c>
      <c r="J11" s="5">
        <f>D11</f>
        <v>19</v>
      </c>
    </row>
    <row r="12">
      <c r="A12" s="4">
        <v>5</v>
      </c>
      <c r="B12" t="inlineStr" s="7">
        <is>
          <t>Zeynep Kapucu</t>
        </is>
      </c>
      <c r="C12" s="4">
        <v>324</v>
      </c>
      <c r="D12" s="5">
        <v>16</v>
      </c>
      <c r="E12" s="5">
        <f>C12/$B$4</f>
        <v>10.8</v>
      </c>
      <c r="F12" s="6">
        <f>IF(C12=0,0,D12/C12)</f>
        <v>0.04938271605</v>
      </c>
      <c r="G12" s="4">
        <v>1</v>
      </c>
      <c r="I12" t="str" s="7">
        <f>B12</f>
        <v>Zeynep Kapucu</v>
      </c>
      <c r="J12" s="5">
        <f>D12</f>
        <v>16</v>
      </c>
    </row>
    <row r="13">
      <c r="A13" s="4">
        <v>6</v>
      </c>
      <c r="B13" t="inlineStr" s="7">
        <is>
          <t>Ceren İrem Çakır</t>
        </is>
      </c>
      <c r="C13" s="4">
        <v>204</v>
      </c>
      <c r="D13" s="5">
        <v>15</v>
      </c>
      <c r="E13" s="5">
        <f>C13/$B$4</f>
        <v>6.8</v>
      </c>
      <c r="F13" s="6">
        <f>IF(C13=0,0,D13/C13)</f>
        <v>0.07352941176</v>
      </c>
      <c r="G13" s="4">
        <v>1</v>
      </c>
      <c r="I13" t="str" s="7">
        <f>B13</f>
        <v>Ceren İrem Çakır</v>
      </c>
      <c r="J13" s="5">
        <f>D13</f>
        <v>15</v>
      </c>
    </row>
    <row r="14">
      <c r="A14" s="4">
        <v>7</v>
      </c>
      <c r="B14" t="inlineStr" s="7">
        <is>
          <t>Umut Durmaz</t>
        </is>
      </c>
      <c r="C14" s="4">
        <v>341</v>
      </c>
      <c r="D14" s="5">
        <v>14</v>
      </c>
      <c r="E14" s="5">
        <f>C14/$B$4</f>
        <v>11.36666667</v>
      </c>
      <c r="F14" s="6">
        <f>IF(C14=0,0,D14/C14)</f>
        <v>0.04105571848</v>
      </c>
      <c r="G14" s="4">
        <v>1</v>
      </c>
      <c r="I14" t="str" s="7">
        <f>B14</f>
        <v>Umut Durmaz</v>
      </c>
      <c r="J14" s="5">
        <f>D14</f>
        <v>14</v>
      </c>
    </row>
    <row r="15">
      <c r="A15" s="4">
        <v>8</v>
      </c>
      <c r="B15" t="inlineStr" s="7">
        <is>
          <t>Sevcan Erol</t>
        </is>
      </c>
      <c r="C15" s="4">
        <v>209</v>
      </c>
      <c r="D15" s="5">
        <v>14</v>
      </c>
      <c r="E15" s="5">
        <f>C15/$B$4</f>
        <v>6.966666667</v>
      </c>
      <c r="F15" s="6">
        <f>IF(C15=0,0,D15/C15)</f>
        <v>0.06698564593</v>
      </c>
      <c r="G15" s="4">
        <v>1</v>
      </c>
      <c r="I15" t="str" s="7">
        <f>B15</f>
        <v>Sevcan Erol</v>
      </c>
      <c r="J15" s="5">
        <f>D15</f>
        <v>14</v>
      </c>
    </row>
    <row r="16">
      <c r="A16" s="4">
        <v>9</v>
      </c>
      <c r="B16" t="inlineStr" s="7">
        <is>
          <t>Mohi Bayati</t>
        </is>
      </c>
      <c r="C16" s="4">
        <v>366</v>
      </c>
      <c r="D16" s="5">
        <v>13</v>
      </c>
      <c r="E16" s="5">
        <f>C16/$B$4</f>
        <v>12.2</v>
      </c>
      <c r="F16" s="6">
        <f>IF(C16=0,0,D16/C16)</f>
        <v>0.03551912568</v>
      </c>
      <c r="G16" s="4">
        <v>2</v>
      </c>
      <c r="I16" t="str" s="7">
        <f>B16</f>
        <v>Mohi Bayati</v>
      </c>
      <c r="J16" s="5">
        <f>D16</f>
        <v>13</v>
      </c>
    </row>
    <row r="17">
      <c r="A17" s="4">
        <v>10</v>
      </c>
      <c r="B17" t="inlineStr" s="7">
        <is>
          <t>Büşra Asyalı</t>
        </is>
      </c>
      <c r="C17" s="4">
        <v>304</v>
      </c>
      <c r="D17" s="5">
        <v>13</v>
      </c>
      <c r="E17" s="5">
        <f>C17/$B$4</f>
        <v>10.13333333</v>
      </c>
      <c r="F17" s="6">
        <f>IF(C17=0,0,D17/C17)</f>
        <v>0.04276315789</v>
      </c>
      <c r="G17" s="4">
        <v>1</v>
      </c>
      <c r="I17" t="str" s="7">
        <f>B17</f>
        <v>Büşra Asyalı</v>
      </c>
      <c r="J17" s="5">
        <f>D17</f>
        <v>13</v>
      </c>
    </row>
    <row r="18">
      <c r="A18" s="4">
        <v>11</v>
      </c>
      <c r="B18" t="inlineStr" s="7">
        <is>
          <t>Berk Gökşar</t>
        </is>
      </c>
      <c r="C18" s="4">
        <v>265</v>
      </c>
      <c r="D18" s="5">
        <v>13</v>
      </c>
      <c r="E18" s="5">
        <f>C18/$B$4</f>
        <v>8.833333333</v>
      </c>
      <c r="F18" s="6">
        <f>IF(C18=0,0,D18/C18)</f>
        <v>0.04905660377</v>
      </c>
      <c r="G18" s="4">
        <v>1</v>
      </c>
    </row>
    <row r="19">
      <c r="A19" s="4">
        <v>12</v>
      </c>
      <c r="B19" t="inlineStr" s="7">
        <is>
          <t>Kerem Saçaklı</t>
        </is>
      </c>
      <c r="C19" s="4">
        <v>316</v>
      </c>
      <c r="D19" s="5">
        <v>11</v>
      </c>
      <c r="E19" s="5">
        <f>C19/$B$4</f>
        <v>10.53333333</v>
      </c>
      <c r="F19" s="6">
        <f>IF(C19=0,0,D19/C19)</f>
        <v>0.03481012658</v>
      </c>
      <c r="G19" s="4">
        <v>1</v>
      </c>
    </row>
    <row r="20">
      <c r="A20" s="4">
        <v>13</v>
      </c>
      <c r="B20" t="inlineStr" s="7">
        <is>
          <t>Nadin Dari</t>
        </is>
      </c>
      <c r="C20" s="4">
        <v>309</v>
      </c>
      <c r="D20" s="5">
        <v>9</v>
      </c>
      <c r="E20" s="5">
        <f>C20/$B$4</f>
        <v>10.3</v>
      </c>
      <c r="F20" s="6">
        <f>IF(C20=0,0,D20/C20)</f>
        <v>0.02912621359</v>
      </c>
      <c r="G20" s="4">
        <v>1</v>
      </c>
    </row>
    <row r="21">
      <c r="A21" s="4">
        <v>14</v>
      </c>
      <c r="B21" t="inlineStr" s="7">
        <is>
          <t>Ece Bakırtaş</t>
        </is>
      </c>
      <c r="C21" s="4">
        <v>295</v>
      </c>
      <c r="D21" s="5">
        <v>9</v>
      </c>
      <c r="E21" s="5">
        <f>C21/$B$4</f>
        <v>9.833333333</v>
      </c>
      <c r="F21" s="6">
        <f>IF(C21=0,0,D21/C21)</f>
        <v>0.03050847458</v>
      </c>
      <c r="G21" s="4">
        <v>1</v>
      </c>
    </row>
    <row r="22">
      <c r="A22" s="4">
        <v>15</v>
      </c>
      <c r="B22" t="inlineStr" s="7">
        <is>
          <t>Simay Cemre Aydoğan</t>
        </is>
      </c>
      <c r="C22" s="4">
        <v>280</v>
      </c>
      <c r="D22" s="5">
        <v>9</v>
      </c>
      <c r="E22" s="5">
        <f>C22/$B$4</f>
        <v>9.333333333</v>
      </c>
      <c r="F22" s="6">
        <f>IF(C22=0,0,D22/C22)</f>
        <v>0.03214285714</v>
      </c>
      <c r="G22" s="4">
        <v>1</v>
      </c>
    </row>
    <row r="23">
      <c r="A23" s="4">
        <v>16</v>
      </c>
      <c r="B23" t="inlineStr" s="7">
        <is>
          <t>Ayşe Nur Berberoğlu</t>
        </is>
      </c>
      <c r="C23" s="4">
        <v>316</v>
      </c>
      <c r="D23" s="5">
        <v>8</v>
      </c>
      <c r="E23" s="5">
        <f>C23/$B$4</f>
        <v>10.53333333</v>
      </c>
      <c r="F23" s="6">
        <f>IF(C23=0,0,D23/C23)</f>
        <v>0.0253164557</v>
      </c>
      <c r="G23" s="4">
        <v>1</v>
      </c>
    </row>
    <row r="24">
      <c r="A24" s="4">
        <v>17</v>
      </c>
      <c r="B24" t="inlineStr" s="7">
        <is>
          <t>Hazal Varol</t>
        </is>
      </c>
      <c r="C24" s="4">
        <v>229</v>
      </c>
      <c r="D24" s="5">
        <v>8</v>
      </c>
      <c r="E24" s="5">
        <f>C24/$B$4</f>
        <v>7.633333333</v>
      </c>
      <c r="F24" s="6">
        <f>IF(C24=0,0,D24/C24)</f>
        <v>0.03493449782</v>
      </c>
      <c r="G24" s="4">
        <v>1</v>
      </c>
    </row>
    <row r="25">
      <c r="A25" s="4">
        <v>18</v>
      </c>
      <c r="B25" t="inlineStr" s="7">
        <is>
          <t>Selvi Acar</t>
        </is>
      </c>
      <c r="C25" s="4">
        <v>275</v>
      </c>
      <c r="D25" s="5">
        <v>7</v>
      </c>
      <c r="E25" s="5">
        <f>C25/$B$4</f>
        <v>9.166666667</v>
      </c>
      <c r="F25" s="6">
        <f>IF(C25=0,0,D25/C25)</f>
        <v>0.02545454545</v>
      </c>
      <c r="G25" s="4">
        <v>1</v>
      </c>
    </row>
    <row r="26">
      <c r="A26" s="4">
        <v>19</v>
      </c>
      <c r="B26" t="inlineStr" s="7">
        <is>
          <t>Oğuzhan Ünal</t>
        </is>
      </c>
      <c r="C26" s="4">
        <v>175</v>
      </c>
      <c r="D26" s="5">
        <v>7</v>
      </c>
      <c r="E26" s="5">
        <f>C26/$B$4</f>
        <v>5.833333333</v>
      </c>
      <c r="F26" s="6">
        <f>IF(C26=0,0,D26/C26)</f>
        <v>0.04</v>
      </c>
      <c r="G26" s="4">
        <v>1</v>
      </c>
    </row>
    <row r="27">
      <c r="A27" s="4">
        <v>20</v>
      </c>
      <c r="B27" t="inlineStr" s="7">
        <is>
          <t>Berk Nacar</t>
        </is>
      </c>
      <c r="C27" s="4">
        <v>234</v>
      </c>
      <c r="D27" s="5">
        <v>5</v>
      </c>
      <c r="E27" s="5">
        <f>C27/$B$4</f>
        <v>7.8</v>
      </c>
      <c r="F27" s="6">
        <f>IF(C27=0,0,D27/C27)</f>
        <v>0.02136752137</v>
      </c>
      <c r="G27" s="4">
        <v>1</v>
      </c>
    </row>
    <row r="28">
      <c r="A28" s="4">
        <v>21</v>
      </c>
      <c r="B28" t="inlineStr" s="7">
        <is>
          <t>Sebahat Özbey</t>
        </is>
      </c>
      <c r="C28" s="4">
        <v>96</v>
      </c>
      <c r="D28" s="5">
        <v>5</v>
      </c>
      <c r="E28" s="5">
        <f>C28/$B$4</f>
        <v>3.2</v>
      </c>
      <c r="F28" s="6">
        <f>IF(C28=0,0,D28/C28)</f>
        <v>0.05208333333</v>
      </c>
      <c r="G28" s="4">
        <v>1</v>
      </c>
    </row>
    <row r="29">
      <c r="A29" s="4">
        <v>22</v>
      </c>
      <c r="B29" t="inlineStr" s="7">
        <is>
          <t>Ümmühan Karagöz</t>
        </is>
      </c>
      <c r="C29" s="4">
        <v>109</v>
      </c>
      <c r="D29" s="5">
        <v>4</v>
      </c>
      <c r="E29" s="5">
        <f>C29/$B$4</f>
        <v>3.633333333</v>
      </c>
      <c r="F29" s="6">
        <f>IF(C29=0,0,D29/C29)</f>
        <v>0.03669724771</v>
      </c>
      <c r="G29" s="4">
        <v>1</v>
      </c>
    </row>
    <row r="30">
      <c r="A30" s="4">
        <v>23</v>
      </c>
      <c r="B30" t="inlineStr" s="7">
        <is>
          <t>Gurbet Bozkuş</t>
        </is>
      </c>
      <c r="C30" s="4">
        <v>258</v>
      </c>
      <c r="D30" s="5">
        <v>2</v>
      </c>
      <c r="E30" s="5">
        <f>C30/$B$4</f>
        <v>8.6</v>
      </c>
      <c r="F30" s="6">
        <f>IF(C30=0,0,D30/C30)</f>
        <v>0.007751937984</v>
      </c>
      <c r="G30" s="4">
        <v>1</v>
      </c>
    </row>
    <row r="31">
      <c r="A31" s="4">
        <v>24</v>
      </c>
      <c r="B31" t="inlineStr" s="7">
        <is>
          <t>Bahar Yavuzsüslü</t>
        </is>
      </c>
      <c r="C31" s="4">
        <v>48</v>
      </c>
      <c r="D31" s="5">
        <v>1</v>
      </c>
      <c r="E31" s="5">
        <f>C31/$B$4</f>
        <v>1.6</v>
      </c>
      <c r="F31" s="6">
        <f>IF(C31=0,0,D31/C31)</f>
        <v>0.02083333333</v>
      </c>
      <c r="G31" s="4">
        <v>1</v>
      </c>
    </row>
    <row r="32">
      <c r="A32" s="4">
        <v>25</v>
      </c>
      <c r="B32" t="inlineStr" s="7">
        <is>
          <t>Ahmet Ayaz</t>
        </is>
      </c>
      <c r="C32" s="4">
        <v>169</v>
      </c>
      <c r="D32" s="5">
        <v>0</v>
      </c>
      <c r="E32" s="5">
        <f>C32/$B$4</f>
        <v>5.633333333</v>
      </c>
      <c r="F32" s="6">
        <f>IF(C32=0,0,D32/C32)</f>
        <v>0</v>
      </c>
      <c r="G32" s="4">
        <v>1</v>
      </c>
    </row>
  </sheetData>
  <mergeCells count="1">
    <mergeCell ref="A1:G1"/>
  </mergeCells>
  <autoFilter ref="A7:G32"/>
  <drawing r:id="rId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Ocak</vt:lpstr>
      <vt:lpstr>Şubat</vt:lpstr>
      <vt:lpstr>Mart</vt:lpstr>
      <vt:lpstr>Nisan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Stats Four Month Workbook</dc:title>
  <dc:creator>Codex</dc:creator>
  <cp:lastModifiedBy>Codex</cp:lastModifiedBy>
  <dcterms:created xsi:type="dcterms:W3CDTF">2026-06-03T21:07:24Z</dcterms:created>
  <dcterms:modified xsi:type="dcterms:W3CDTF">2026-06-03T21:07:24Z</dcterms:modified>
</cp:coreProperties>
</file>